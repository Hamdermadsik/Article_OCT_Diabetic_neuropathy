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Ex18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dsl\article\Article_OCT_Diabetic_neuropathy\excel filer\"/>
    </mc:Choice>
  </mc:AlternateContent>
  <xr:revisionPtr revIDLastSave="0" documentId="13_ncr:1_{FAE4CC29-4757-4C53-BEF7-52B97D04DFDC}" xr6:coauthVersionLast="47" xr6:coauthVersionMax="47" xr10:uidLastSave="{00000000-0000-0000-0000-000000000000}"/>
  <bookViews>
    <workbookView xWindow="-120" yWindow="-120" windowWidth="29040" windowHeight="15720" firstSheet="7" xr2:uid="{85E6ADDD-780F-6B44-ADCC-4BC92011CC11}"/>
  </bookViews>
  <sheets>
    <sheet name="Demographic" sheetId="1" r:id="rId1"/>
    <sheet name="Vessel area density" sheetId="2" r:id="rId2"/>
    <sheet name="Vessel Length Density" sheetId="3" r:id="rId3"/>
    <sheet name="Branchpoint density" sheetId="6" r:id="rId4"/>
    <sheet name="Mean diameter" sheetId="4" r:id="rId5"/>
    <sheet name="Median diameter" sheetId="5" r:id="rId6"/>
    <sheet name="PORH ANALYSIS" sheetId="8" r:id="rId7"/>
    <sheet name="Fractal dimension" sheetId="7" r:id="rId8"/>
    <sheet name="Baseline results" sheetId="13" r:id="rId9"/>
    <sheet name="PORH results" sheetId="14" r:id="rId10"/>
    <sheet name="Abs diff  results" sheetId="15" r:id="rId11"/>
    <sheet name="Sheet1" sheetId="9" r:id="rId12"/>
  </sheets>
  <definedNames>
    <definedName name="_xlchart.v1.0" hidden="1">'Baseline results'!$AA$2:$AA$14</definedName>
    <definedName name="_xlchart.v1.1" hidden="1">'Baseline results'!$AB$2:$AB$14</definedName>
    <definedName name="_xlchart.v1.10" hidden="1">'Baseline results'!$AM$2:$AM$14</definedName>
    <definedName name="_xlchart.v1.100" hidden="1">'Abs diff  results'!$N$2:$N$14</definedName>
    <definedName name="_xlchart.v1.101" hidden="1">'Abs diff  results'!$O$2:$O$14</definedName>
    <definedName name="_xlchart.v1.102" hidden="1">'Abs diff  results'!$S$2:$S$14</definedName>
    <definedName name="_xlchart.v1.103" hidden="1">'Abs diff  results'!$T$2:$T$14</definedName>
    <definedName name="_xlchart.v1.104" hidden="1">'Abs diff  results'!$U$2:$U$14</definedName>
    <definedName name="_xlchart.v1.105" hidden="1">'Abs diff  results'!$V$2:$V$14</definedName>
    <definedName name="_xlchart.v1.106" hidden="1">'Abs diff  results'!$W$2:$W$14</definedName>
    <definedName name="_xlchart.v1.107" hidden="1">'Abs diff  results'!$X$2:$X$14</definedName>
    <definedName name="_xlchart.v1.11" hidden="1">'Baseline results'!$AN$2:$AN$14</definedName>
    <definedName name="_xlchart.v1.12" hidden="1">'Baseline results'!$AQ$2:$AQ$14</definedName>
    <definedName name="_xlchart.v1.13" hidden="1">'Baseline results'!$AR$2:$AR$14</definedName>
    <definedName name="_xlchart.v1.14" hidden="1">'Baseline results'!$AS$2:$AS$14</definedName>
    <definedName name="_xlchart.v1.15" hidden="1">'Baseline results'!$AT$2:$AT$14</definedName>
    <definedName name="_xlchart.v1.16" hidden="1">'Baseline results'!$AU$2:$AU$14</definedName>
    <definedName name="_xlchart.v1.17" hidden="1">'Baseline results'!$AV$2:$AV$14</definedName>
    <definedName name="_xlchart.v1.18" hidden="1">'Baseline results'!$A$2:$A$14</definedName>
    <definedName name="_xlchart.v1.19" hidden="1">'Baseline results'!$B$2:$B$14</definedName>
    <definedName name="_xlchart.v1.2" hidden="1">'Baseline results'!$AC$2:$AC$14</definedName>
    <definedName name="_xlchart.v1.20" hidden="1">'Baseline results'!$C$2:$C$14</definedName>
    <definedName name="_xlchart.v1.21" hidden="1">'Baseline results'!$D$2:$D$14</definedName>
    <definedName name="_xlchart.v1.22" hidden="1">'Baseline results'!$E$2:$E$14</definedName>
    <definedName name="_xlchart.v1.23" hidden="1">'Baseline results'!$F$2:$F$14</definedName>
    <definedName name="_xlchart.v1.24" hidden="1">'Baseline results'!$J$2:$J$14</definedName>
    <definedName name="_xlchart.v1.25" hidden="1">'Baseline results'!$K$2:$K$14</definedName>
    <definedName name="_xlchart.v1.26" hidden="1">'Baseline results'!$L$2:$L$14</definedName>
    <definedName name="_xlchart.v1.27" hidden="1">'Baseline results'!$M$2:$M$14</definedName>
    <definedName name="_xlchart.v1.28" hidden="1">'Baseline results'!$N$2:$N$14</definedName>
    <definedName name="_xlchart.v1.29" hidden="1">'Baseline results'!$O$2:$O$14</definedName>
    <definedName name="_xlchart.v1.3" hidden="1">'Baseline results'!$AD$2:$AD$14</definedName>
    <definedName name="_xlchart.v1.30" hidden="1">'Baseline results'!$S$2:$S$14</definedName>
    <definedName name="_xlchart.v1.31" hidden="1">'Baseline results'!$T$2:$T$14</definedName>
    <definedName name="_xlchart.v1.32" hidden="1">'Baseline results'!$U$2:$U$14</definedName>
    <definedName name="_xlchart.v1.33" hidden="1">'Baseline results'!$V$2:$V$14</definedName>
    <definedName name="_xlchart.v1.34" hidden="1">'Baseline results'!$W$2:$W$14</definedName>
    <definedName name="_xlchart.v1.35" hidden="1">'Baseline results'!$X$2:$X$14</definedName>
    <definedName name="_xlchart.v1.36" hidden="1">'PORH results'!$AT$2:$AT$14</definedName>
    <definedName name="_xlchart.v1.37" hidden="1">'PORH results'!$AU$2:$AU$14</definedName>
    <definedName name="_xlchart.v1.38" hidden="1">'PORH results'!$AV$2:$AV$14</definedName>
    <definedName name="_xlchart.v1.39" hidden="1">'PORH results'!$AW$2:$AW$14</definedName>
    <definedName name="_xlchart.v1.4" hidden="1">'Baseline results'!$AE$2:$AE$14</definedName>
    <definedName name="_xlchart.v1.40" hidden="1">'PORH results'!$AX$2:$AX$14</definedName>
    <definedName name="_xlchart.v1.41" hidden="1">'PORH results'!$AY$2:$AY$14</definedName>
    <definedName name="_xlchart.v1.42" hidden="1">'PORH results'!$A$2:$A$14</definedName>
    <definedName name="_xlchart.v1.43" hidden="1">'PORH results'!$B$2:$B$14</definedName>
    <definedName name="_xlchart.v1.44" hidden="1">'PORH results'!$C$2:$C$14</definedName>
    <definedName name="_xlchart.v1.45" hidden="1">'PORH results'!$D$2:$D$14</definedName>
    <definedName name="_xlchart.v1.46" hidden="1">'PORH results'!$E$2:$E$14</definedName>
    <definedName name="_xlchart.v1.47" hidden="1">'PORH results'!$F$2:$F$14</definedName>
    <definedName name="_xlchart.v1.48" hidden="1">'PORH results'!$J$2:$J$14</definedName>
    <definedName name="_xlchart.v1.49" hidden="1">'PORH results'!$K$2:$K$14</definedName>
    <definedName name="_xlchart.v1.5" hidden="1">'Baseline results'!$AF$2:$AF$14</definedName>
    <definedName name="_xlchart.v1.50" hidden="1">'PORH results'!$L$2:$L$14</definedName>
    <definedName name="_xlchart.v1.51" hidden="1">'PORH results'!$M$2:$M$14</definedName>
    <definedName name="_xlchart.v1.52" hidden="1">'PORH results'!$N$2:$N$14</definedName>
    <definedName name="_xlchart.v1.53" hidden="1">'PORH results'!$O$2:$O$14</definedName>
    <definedName name="_xlchart.v1.54" hidden="1">'PORH results'!$AB$2:$AB$14</definedName>
    <definedName name="_xlchart.v1.55" hidden="1">'PORH results'!$AC$2:$AC$14</definedName>
    <definedName name="_xlchart.v1.56" hidden="1">'PORH results'!$AD$2:$AD$14</definedName>
    <definedName name="_xlchart.v1.57" hidden="1">'PORH results'!$AE$2:$AE$14</definedName>
    <definedName name="_xlchart.v1.58" hidden="1">'PORH results'!$AF$2:$AF$14</definedName>
    <definedName name="_xlchart.v1.59" hidden="1">'PORH results'!$AG$2:$AG$14</definedName>
    <definedName name="_xlchart.v1.6" hidden="1">'Baseline results'!$AI$2:$AI$14</definedName>
    <definedName name="_xlchart.v1.60" hidden="1">'PORH results'!$AK$2:$AK$14</definedName>
    <definedName name="_xlchart.v1.61" hidden="1">'PORH results'!$AL$2:$AL$14</definedName>
    <definedName name="_xlchart.v1.62" hidden="1">'PORH results'!$AM$2:$AM$14</definedName>
    <definedName name="_xlchart.v1.63" hidden="1">'PORH results'!$AN$2:$AN$14</definedName>
    <definedName name="_xlchart.v1.64" hidden="1">'PORH results'!$AO$2:$AO$14</definedName>
    <definedName name="_xlchart.v1.65" hidden="1">'PORH results'!$AP$2:$AP$14</definedName>
    <definedName name="_xlchart.v1.66" hidden="1">'PORH results'!$S$2:$S$14</definedName>
    <definedName name="_xlchart.v1.67" hidden="1">'PORH results'!$T$2:$T$14</definedName>
    <definedName name="_xlchart.v1.68" hidden="1">'PORH results'!$U$2:$U$14</definedName>
    <definedName name="_xlchart.v1.69" hidden="1">'PORH results'!$V$2:$V$14</definedName>
    <definedName name="_xlchart.v1.7" hidden="1">'Baseline results'!$AJ$2:$AJ$14</definedName>
    <definedName name="_xlchart.v1.70" hidden="1">'PORH results'!$W$2:$W$14</definedName>
    <definedName name="_xlchart.v1.71" hidden="1">'PORH results'!$X$2:$X$14</definedName>
    <definedName name="_xlchart.v1.72" hidden="1">'Abs diff  results'!$AK$2:$AK$14</definedName>
    <definedName name="_xlchart.v1.73" hidden="1">'Abs diff  results'!$AL$2:$AL$14</definedName>
    <definedName name="_xlchart.v1.74" hidden="1">'Abs diff  results'!$AM$2:$AM$14</definedName>
    <definedName name="_xlchart.v1.75" hidden="1">'Abs diff  results'!$AN$2:$AN$14</definedName>
    <definedName name="_xlchart.v1.76" hidden="1">'Abs diff  results'!$AO$2:$AO$14</definedName>
    <definedName name="_xlchart.v1.77" hidden="1">'Abs diff  results'!$AP$2:$AP$14</definedName>
    <definedName name="_xlchart.v1.78" hidden="1">'Abs diff  results'!$AT$2:$AT$14</definedName>
    <definedName name="_xlchart.v1.79" hidden="1">'Abs diff  results'!$AU$2:$AU$14</definedName>
    <definedName name="_xlchart.v1.8" hidden="1">'Baseline results'!$AK$2:$AK$14</definedName>
    <definedName name="_xlchart.v1.80" hidden="1">'Abs diff  results'!$AV$2:$AV$14</definedName>
    <definedName name="_xlchart.v1.81" hidden="1">'Abs diff  results'!$AW$2:$AW$14</definedName>
    <definedName name="_xlchart.v1.82" hidden="1">'Abs diff  results'!$AX$2:$AX$14</definedName>
    <definedName name="_xlchart.v1.83" hidden="1">'Abs diff  results'!$AY$2:$AY$14</definedName>
    <definedName name="_xlchart.v1.84" hidden="1">'Abs diff  results'!$AB$2:$AB$14</definedName>
    <definedName name="_xlchart.v1.85" hidden="1">'Abs diff  results'!$AC$2:$AC$14</definedName>
    <definedName name="_xlchart.v1.86" hidden="1">'Abs diff  results'!$AD$2:$AD$14</definedName>
    <definedName name="_xlchart.v1.87" hidden="1">'Abs diff  results'!$AE$2:$AE$14</definedName>
    <definedName name="_xlchart.v1.88" hidden="1">'Abs diff  results'!$AF$2:$AF$14</definedName>
    <definedName name="_xlchart.v1.89" hidden="1">'Abs diff  results'!$AG$2:$AG$14</definedName>
    <definedName name="_xlchart.v1.9" hidden="1">'Baseline results'!$AL$2:$AL$14</definedName>
    <definedName name="_xlchart.v1.90" hidden="1">'Abs diff  results'!$A$2:$A$14</definedName>
    <definedName name="_xlchart.v1.91" hidden="1">'Abs diff  results'!$B$2:$B$14</definedName>
    <definedName name="_xlchart.v1.92" hidden="1">'Abs diff  results'!$C$2:$C$14</definedName>
    <definedName name="_xlchart.v1.93" hidden="1">'Abs diff  results'!$D$2:$D$14</definedName>
    <definedName name="_xlchart.v1.94" hidden="1">'Abs diff  results'!$E$2:$E$14</definedName>
    <definedName name="_xlchart.v1.95" hidden="1">'Abs diff  results'!$F$2:$F$14</definedName>
    <definedName name="_xlchart.v1.96" hidden="1">'Abs diff  results'!$J$2:$J$14</definedName>
    <definedName name="_xlchart.v1.97" hidden="1">'Abs diff  results'!$K$2:$K$14</definedName>
    <definedName name="_xlchart.v1.98" hidden="1">'Abs diff  results'!$L$2:$L$14</definedName>
    <definedName name="_xlchart.v1.99" hidden="1">'Abs diff  results'!$M$2:$M$14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06" i="7" l="1"/>
  <c r="S106" i="7" s="1"/>
  <c r="Q106" i="7"/>
  <c r="R107" i="7"/>
  <c r="S107" i="7" s="1"/>
  <c r="Q107" i="7"/>
  <c r="R108" i="7"/>
  <c r="Q108" i="7"/>
  <c r="S108" i="7"/>
  <c r="R109" i="7"/>
  <c r="Q109" i="7"/>
  <c r="S109" i="7"/>
  <c r="R110" i="7"/>
  <c r="S110" i="7" s="1"/>
  <c r="Q110" i="7"/>
  <c r="R111" i="7"/>
  <c r="Q111" i="7"/>
  <c r="S111" i="7" s="1"/>
  <c r="R112" i="7"/>
  <c r="Q112" i="7"/>
  <c r="S112" i="7" s="1"/>
  <c r="R81" i="7"/>
  <c r="Q81" i="7"/>
  <c r="S81" i="7" s="1"/>
  <c r="R82" i="7"/>
  <c r="Q82" i="7"/>
  <c r="S82" i="7" s="1"/>
  <c r="R83" i="7"/>
  <c r="S83" i="7" s="1"/>
  <c r="Q83" i="7"/>
  <c r="R84" i="7"/>
  <c r="S84" i="7" s="1"/>
  <c r="Q84" i="7"/>
  <c r="R85" i="7"/>
  <c r="S85" i="7" s="1"/>
  <c r="Q85" i="7"/>
  <c r="R86" i="7"/>
  <c r="Q86" i="7"/>
  <c r="S86" i="7"/>
  <c r="R87" i="7"/>
  <c r="Q87" i="7"/>
  <c r="S87" i="7"/>
  <c r="R88" i="7"/>
  <c r="S88" i="7" s="1"/>
  <c r="Q88" i="7"/>
  <c r="R89" i="7"/>
  <c r="Q89" i="7"/>
  <c r="S89" i="7" s="1"/>
  <c r="R90" i="7"/>
  <c r="Q90" i="7"/>
  <c r="S90" i="7" s="1"/>
  <c r="R91" i="7"/>
  <c r="S91" i="7" s="1"/>
  <c r="Q91" i="7"/>
  <c r="R92" i="7"/>
  <c r="S92" i="7" s="1"/>
  <c r="Q92" i="7"/>
  <c r="R93" i="7"/>
  <c r="S93" i="7" s="1"/>
  <c r="Q93" i="7"/>
  <c r="R61" i="7"/>
  <c r="S61" i="7" s="1"/>
  <c r="Q61" i="7"/>
  <c r="R62" i="7"/>
  <c r="S62" i="7" s="1"/>
  <c r="Q62" i="7"/>
  <c r="R63" i="7"/>
  <c r="Q63" i="7"/>
  <c r="S63" i="7"/>
  <c r="R64" i="7"/>
  <c r="Q64" i="7"/>
  <c r="S64" i="7"/>
  <c r="R65" i="7"/>
  <c r="S65" i="7" s="1"/>
  <c r="Q65" i="7"/>
  <c r="R66" i="7"/>
  <c r="Q66" i="7"/>
  <c r="S66" i="7" s="1"/>
  <c r="R67" i="7"/>
  <c r="Q67" i="7"/>
  <c r="S67" i="7" s="1"/>
  <c r="R68" i="7"/>
  <c r="S68" i="7" s="1"/>
  <c r="Q68" i="7"/>
  <c r="R69" i="7"/>
  <c r="S69" i="7" s="1"/>
  <c r="Q69" i="7"/>
  <c r="R70" i="7"/>
  <c r="S70" i="7" s="1"/>
  <c r="Q70" i="7"/>
  <c r="R40" i="7"/>
  <c r="S40" i="7" s="1"/>
  <c r="Q40" i="7"/>
  <c r="R41" i="7"/>
  <c r="S41" i="7" s="1"/>
  <c r="Q41" i="7"/>
  <c r="R42" i="7"/>
  <c r="S42" i="7" s="1"/>
  <c r="Q42" i="7"/>
  <c r="R43" i="7"/>
  <c r="Q43" i="7"/>
  <c r="S43" i="7"/>
  <c r="R44" i="7"/>
  <c r="S44" i="7" s="1"/>
  <c r="Q44" i="7"/>
  <c r="R45" i="7"/>
  <c r="Q45" i="7"/>
  <c r="S45" i="7" s="1"/>
  <c r="R46" i="7"/>
  <c r="Q46" i="7"/>
  <c r="S46" i="7" s="1"/>
  <c r="R47" i="7"/>
  <c r="S47" i="7" s="1"/>
  <c r="Q47" i="7"/>
  <c r="R48" i="7"/>
  <c r="S48" i="7" s="1"/>
  <c r="Q48" i="7"/>
  <c r="R49" i="7"/>
  <c r="S49" i="7" s="1"/>
  <c r="Q49" i="7"/>
  <c r="R50" i="7"/>
  <c r="S50" i="7" s="1"/>
  <c r="Q50" i="7"/>
  <c r="R23" i="7"/>
  <c r="S23" i="7" s="1"/>
  <c r="Q23" i="7"/>
  <c r="R24" i="7"/>
  <c r="S24" i="7" s="1"/>
  <c r="Q24" i="7"/>
  <c r="R25" i="7"/>
  <c r="Q25" i="7"/>
  <c r="S25" i="7"/>
  <c r="R26" i="7"/>
  <c r="S26" i="7" s="1"/>
  <c r="Q26" i="7"/>
  <c r="R27" i="7"/>
  <c r="S27" i="7" s="1"/>
  <c r="Q27" i="7"/>
  <c r="R28" i="7"/>
  <c r="Q28" i="7"/>
  <c r="S28" i="7" s="1"/>
  <c r="R29" i="7"/>
  <c r="S29" i="7" s="1"/>
  <c r="Q29" i="7"/>
  <c r="R4" i="7"/>
  <c r="Q4" i="7"/>
  <c r="S4" i="7" s="1"/>
  <c r="R5" i="7"/>
  <c r="S5" i="7" s="1"/>
  <c r="Q5" i="7"/>
  <c r="R6" i="7"/>
  <c r="Q6" i="7"/>
  <c r="S6" i="7"/>
  <c r="R7" i="7"/>
  <c r="Q7" i="7"/>
  <c r="S7" i="7"/>
  <c r="R8" i="7"/>
  <c r="S8" i="7" s="1"/>
  <c r="Q8" i="7"/>
  <c r="R9" i="7"/>
  <c r="S9" i="7" s="1"/>
  <c r="Q9" i="7"/>
  <c r="R10" i="7"/>
  <c r="S10" i="7" s="1"/>
  <c r="Q10" i="7"/>
  <c r="R11" i="7"/>
  <c r="Q11" i="7"/>
  <c r="S11" i="7" s="1"/>
  <c r="R12" i="7"/>
  <c r="S12" i="7" s="1"/>
  <c r="Q12" i="7"/>
  <c r="R106" i="5"/>
  <c r="S106" i="5" s="1"/>
  <c r="Q106" i="5"/>
  <c r="R107" i="5"/>
  <c r="S107" i="5" s="1"/>
  <c r="Q107" i="5"/>
  <c r="R108" i="5"/>
  <c r="S108" i="5" s="1"/>
  <c r="Q108" i="5"/>
  <c r="R109" i="5"/>
  <c r="Q109" i="5"/>
  <c r="S109" i="5"/>
  <c r="R110" i="5"/>
  <c r="Q110" i="5"/>
  <c r="R111" i="5"/>
  <c r="S111" i="5" s="1"/>
  <c r="Q111" i="5"/>
  <c r="R112" i="5"/>
  <c r="Q112" i="5"/>
  <c r="S112" i="5"/>
  <c r="R23" i="5"/>
  <c r="S23" i="5" s="1"/>
  <c r="Q23" i="5"/>
  <c r="R24" i="5"/>
  <c r="S24" i="5" s="1"/>
  <c r="Q24" i="5"/>
  <c r="R25" i="5"/>
  <c r="Q25" i="5"/>
  <c r="S25" i="5"/>
  <c r="R26" i="5"/>
  <c r="Q26" i="5"/>
  <c r="S26" i="5"/>
  <c r="R27" i="5"/>
  <c r="S27" i="5" s="1"/>
  <c r="Q27" i="5"/>
  <c r="R28" i="5"/>
  <c r="Q28" i="5"/>
  <c r="S28" i="5" s="1"/>
  <c r="R29" i="5"/>
  <c r="S29" i="5" s="1"/>
  <c r="Q29" i="5"/>
  <c r="R40" i="5"/>
  <c r="Q40" i="5"/>
  <c r="S40" i="5"/>
  <c r="R41" i="5"/>
  <c r="S41" i="5" s="1"/>
  <c r="Q41" i="5"/>
  <c r="R42" i="5"/>
  <c r="S42" i="5" s="1"/>
  <c r="Q42" i="5"/>
  <c r="R43" i="5"/>
  <c r="S43" i="5" s="1"/>
  <c r="Q43" i="5"/>
  <c r="R44" i="5"/>
  <c r="S44" i="5" s="1"/>
  <c r="Q44" i="5"/>
  <c r="R45" i="5"/>
  <c r="Q45" i="5"/>
  <c r="S45" i="5"/>
  <c r="R46" i="5"/>
  <c r="S46" i="5" s="1"/>
  <c r="Q46" i="5"/>
  <c r="R47" i="5"/>
  <c r="Q47" i="5"/>
  <c r="S47" i="5"/>
  <c r="R48" i="5"/>
  <c r="Q48" i="5"/>
  <c r="S48" i="5" s="1"/>
  <c r="R49" i="5"/>
  <c r="S49" i="5" s="1"/>
  <c r="Q49" i="5"/>
  <c r="R50" i="5"/>
  <c r="Q50" i="5"/>
  <c r="S50" i="5" s="1"/>
  <c r="R61" i="5"/>
  <c r="Q61" i="5"/>
  <c r="S61" i="5" s="1"/>
  <c r="R62" i="5"/>
  <c r="Q62" i="5"/>
  <c r="S62" i="5" s="1"/>
  <c r="R63" i="5"/>
  <c r="S63" i="5" s="1"/>
  <c r="Q63" i="5"/>
  <c r="R64" i="5"/>
  <c r="S64" i="5" s="1"/>
  <c r="Q64" i="5"/>
  <c r="R65" i="5"/>
  <c r="Q65" i="5"/>
  <c r="S65" i="5"/>
  <c r="R66" i="5"/>
  <c r="S66" i="5" s="1"/>
  <c r="Q66" i="5"/>
  <c r="R67" i="5"/>
  <c r="Q67" i="5"/>
  <c r="S67" i="5"/>
  <c r="R68" i="5"/>
  <c r="Q68" i="5"/>
  <c r="S68" i="5" s="1"/>
  <c r="R69" i="5"/>
  <c r="S69" i="5" s="1"/>
  <c r="Q69" i="5"/>
  <c r="R70" i="5"/>
  <c r="S70" i="5" s="1"/>
  <c r="Q70" i="5"/>
  <c r="R81" i="5"/>
  <c r="S81" i="5" s="1"/>
  <c r="Q81" i="5"/>
  <c r="R82" i="5"/>
  <c r="Q82" i="5"/>
  <c r="S82" i="5"/>
  <c r="R83" i="5"/>
  <c r="Q83" i="5"/>
  <c r="S83" i="5" s="1"/>
  <c r="R84" i="5"/>
  <c r="Q84" i="5"/>
  <c r="S84" i="5"/>
  <c r="R85" i="5"/>
  <c r="S85" i="5" s="1"/>
  <c r="Q85" i="5"/>
  <c r="R86" i="5"/>
  <c r="S86" i="5" s="1"/>
  <c r="Q86" i="5"/>
  <c r="R87" i="5"/>
  <c r="Q87" i="5"/>
  <c r="S87" i="5"/>
  <c r="R88" i="5"/>
  <c r="Q88" i="5"/>
  <c r="S88" i="5"/>
  <c r="R89" i="5"/>
  <c r="S89" i="5" s="1"/>
  <c r="Q89" i="5"/>
  <c r="R90" i="5"/>
  <c r="Q90" i="5"/>
  <c r="S90" i="5"/>
  <c r="R91" i="5"/>
  <c r="Q91" i="5"/>
  <c r="S91" i="5" s="1"/>
  <c r="R92" i="5"/>
  <c r="Q92" i="5"/>
  <c r="S92" i="5" s="1"/>
  <c r="R93" i="5"/>
  <c r="S93" i="5" s="1"/>
  <c r="Q93" i="5"/>
  <c r="R14" i="7"/>
  <c r="R15" i="7" s="1"/>
  <c r="R13" i="7"/>
  <c r="R31" i="7"/>
  <c r="R30" i="7"/>
  <c r="R32" i="7"/>
  <c r="R52" i="7"/>
  <c r="R51" i="7"/>
  <c r="R53" i="7" s="1"/>
  <c r="R72" i="7"/>
  <c r="R71" i="7"/>
  <c r="R73" i="7"/>
  <c r="R95" i="7"/>
  <c r="R94" i="7"/>
  <c r="R96" i="7" s="1"/>
  <c r="R114" i="7"/>
  <c r="R113" i="7"/>
  <c r="R115" i="7"/>
  <c r="R72" i="5"/>
  <c r="R52" i="5"/>
  <c r="R53" i="5" s="1"/>
  <c r="R51" i="5"/>
  <c r="R31" i="5"/>
  <c r="R30" i="5"/>
  <c r="R32" i="5"/>
  <c r="R4" i="5"/>
  <c r="R13" i="5" s="1"/>
  <c r="R5" i="5"/>
  <c r="R6" i="5"/>
  <c r="R7" i="5"/>
  <c r="R8" i="5"/>
  <c r="R9" i="5"/>
  <c r="R10" i="5"/>
  <c r="R11" i="5"/>
  <c r="R12" i="5"/>
  <c r="R14" i="5"/>
  <c r="R15" i="5" s="1"/>
  <c r="R110" i="4"/>
  <c r="R117" i="4" s="1"/>
  <c r="R118" i="4" s="1"/>
  <c r="R111" i="4"/>
  <c r="R112" i="4"/>
  <c r="R113" i="4"/>
  <c r="R114" i="4"/>
  <c r="R115" i="4"/>
  <c r="R116" i="4" s="1"/>
  <c r="R88" i="4"/>
  <c r="R89" i="4"/>
  <c r="R90" i="4"/>
  <c r="R98" i="4" s="1"/>
  <c r="R99" i="4" s="1"/>
  <c r="R91" i="4"/>
  <c r="R97" i="4" s="1"/>
  <c r="R92" i="4"/>
  <c r="R93" i="4"/>
  <c r="R94" i="4"/>
  <c r="R95" i="4"/>
  <c r="R96" i="4"/>
  <c r="R65" i="4"/>
  <c r="R66" i="4"/>
  <c r="R67" i="4"/>
  <c r="R68" i="4"/>
  <c r="R74" i="4" s="1"/>
  <c r="R76" i="4" s="1"/>
  <c r="R69" i="4"/>
  <c r="R70" i="4"/>
  <c r="R71" i="4"/>
  <c r="R72" i="4"/>
  <c r="R73" i="4"/>
  <c r="R75" i="4"/>
  <c r="R45" i="4"/>
  <c r="R54" i="4" s="1"/>
  <c r="R46" i="4"/>
  <c r="R47" i="4"/>
  <c r="R48" i="4"/>
  <c r="R49" i="4"/>
  <c r="R50" i="4"/>
  <c r="R55" i="4" s="1"/>
  <c r="R51" i="4"/>
  <c r="R52" i="4"/>
  <c r="R53" i="4"/>
  <c r="R23" i="4"/>
  <c r="R31" i="4" s="1"/>
  <c r="R32" i="4" s="1"/>
  <c r="R24" i="4"/>
  <c r="R30" i="4" s="1"/>
  <c r="R25" i="4"/>
  <c r="R26" i="4"/>
  <c r="R27" i="4"/>
  <c r="R28" i="4"/>
  <c r="R29" i="4"/>
  <c r="R4" i="4"/>
  <c r="R14" i="4" s="1"/>
  <c r="R5" i="4"/>
  <c r="R6" i="4"/>
  <c r="R7" i="4"/>
  <c r="R8" i="4"/>
  <c r="R9" i="4"/>
  <c r="R10" i="4"/>
  <c r="R11" i="4"/>
  <c r="R12" i="4"/>
  <c r="R107" i="6"/>
  <c r="R113" i="6" s="1"/>
  <c r="R108" i="6"/>
  <c r="R109" i="6"/>
  <c r="R114" i="6" s="1"/>
  <c r="R110" i="6"/>
  <c r="R111" i="6"/>
  <c r="R112" i="6"/>
  <c r="R85" i="6"/>
  <c r="R95" i="6" s="1"/>
  <c r="R96" i="6" s="1"/>
  <c r="R86" i="6"/>
  <c r="R87" i="6"/>
  <c r="R88" i="6"/>
  <c r="R89" i="6"/>
  <c r="R90" i="6"/>
  <c r="R91" i="6"/>
  <c r="R92" i="6"/>
  <c r="R93" i="6"/>
  <c r="R94" i="6"/>
  <c r="R62" i="6"/>
  <c r="R63" i="6"/>
  <c r="R64" i="6"/>
  <c r="R65" i="6"/>
  <c r="R66" i="6"/>
  <c r="R72" i="6" s="1"/>
  <c r="R67" i="6"/>
  <c r="R68" i="6"/>
  <c r="R69" i="6"/>
  <c r="R70" i="6"/>
  <c r="R42" i="6"/>
  <c r="R52" i="6" s="1"/>
  <c r="R53" i="6" s="1"/>
  <c r="R43" i="6"/>
  <c r="R44" i="6"/>
  <c r="R45" i="6"/>
  <c r="R46" i="6"/>
  <c r="R47" i="6"/>
  <c r="R48" i="6"/>
  <c r="R49" i="6"/>
  <c r="R50" i="6"/>
  <c r="R51" i="6"/>
  <c r="R4" i="6"/>
  <c r="R5" i="6"/>
  <c r="R6" i="6"/>
  <c r="R14" i="6" s="1"/>
  <c r="R15" i="6" s="1"/>
  <c r="R7" i="6"/>
  <c r="R8" i="6"/>
  <c r="R9" i="6"/>
  <c r="R13" i="6" s="1"/>
  <c r="R10" i="6"/>
  <c r="R11" i="6"/>
  <c r="R12" i="6"/>
  <c r="R23" i="6"/>
  <c r="R31" i="6" s="1"/>
  <c r="R24" i="6"/>
  <c r="R30" i="6" s="1"/>
  <c r="R25" i="6"/>
  <c r="R26" i="6"/>
  <c r="R27" i="6"/>
  <c r="R28" i="6"/>
  <c r="R29" i="6"/>
  <c r="R107" i="3"/>
  <c r="R113" i="3" s="1"/>
  <c r="R115" i="3" s="1"/>
  <c r="R108" i="3"/>
  <c r="R109" i="3"/>
  <c r="R110" i="3"/>
  <c r="R111" i="3"/>
  <c r="R112" i="3"/>
  <c r="R114" i="3"/>
  <c r="R85" i="3"/>
  <c r="R95" i="3" s="1"/>
  <c r="R86" i="3"/>
  <c r="R87" i="3"/>
  <c r="R88" i="3"/>
  <c r="R89" i="3"/>
  <c r="R90" i="3"/>
  <c r="R91" i="3"/>
  <c r="R92" i="3"/>
  <c r="R93" i="3"/>
  <c r="R62" i="3"/>
  <c r="R71" i="3" s="1"/>
  <c r="R63" i="3"/>
  <c r="R64" i="3"/>
  <c r="R65" i="3"/>
  <c r="R66" i="3"/>
  <c r="R67" i="3"/>
  <c r="R68" i="3"/>
  <c r="R69" i="3"/>
  <c r="R70" i="3"/>
  <c r="R72" i="3"/>
  <c r="R73" i="3" s="1"/>
  <c r="R42" i="3"/>
  <c r="R52" i="3" s="1"/>
  <c r="R53" i="3" s="1"/>
  <c r="R43" i="3"/>
  <c r="R44" i="3"/>
  <c r="R45" i="3"/>
  <c r="R46" i="3"/>
  <c r="R47" i="3"/>
  <c r="R48" i="3"/>
  <c r="R49" i="3"/>
  <c r="R50" i="3"/>
  <c r="R51" i="3"/>
  <c r="R23" i="3"/>
  <c r="R24" i="3"/>
  <c r="R31" i="3" s="1"/>
  <c r="R25" i="3"/>
  <c r="R26" i="3"/>
  <c r="R27" i="3"/>
  <c r="R28" i="3"/>
  <c r="R29" i="3"/>
  <c r="R4" i="3"/>
  <c r="R14" i="3" s="1"/>
  <c r="R15" i="3" s="1"/>
  <c r="R5" i="3"/>
  <c r="R6" i="3"/>
  <c r="R7" i="3"/>
  <c r="R13" i="3" s="1"/>
  <c r="R8" i="3"/>
  <c r="R9" i="3"/>
  <c r="R10" i="3"/>
  <c r="R11" i="3"/>
  <c r="R12" i="3"/>
  <c r="P81" i="7"/>
  <c r="P82" i="7"/>
  <c r="P83" i="7"/>
  <c r="P84" i="7"/>
  <c r="P85" i="7"/>
  <c r="P86" i="7"/>
  <c r="S99" i="7" s="1"/>
  <c r="S100" i="7" s="1"/>
  <c r="S102" i="7" s="1"/>
  <c r="P87" i="7"/>
  <c r="P88" i="7"/>
  <c r="P89" i="7"/>
  <c r="P90" i="7"/>
  <c r="P91" i="7"/>
  <c r="P92" i="7"/>
  <c r="P81" i="5"/>
  <c r="P82" i="5"/>
  <c r="P83" i="5"/>
  <c r="P84" i="5"/>
  <c r="P85" i="5"/>
  <c r="P86" i="5"/>
  <c r="P87" i="5"/>
  <c r="S99" i="5" s="1"/>
  <c r="S100" i="5" s="1"/>
  <c r="S102" i="5" s="1"/>
  <c r="P88" i="5"/>
  <c r="P89" i="5"/>
  <c r="P90" i="5"/>
  <c r="P91" i="5"/>
  <c r="P92" i="5"/>
  <c r="P84" i="4"/>
  <c r="S102" i="4" s="1"/>
  <c r="S103" i="4" s="1"/>
  <c r="S105" i="4" s="1"/>
  <c r="P85" i="4"/>
  <c r="P86" i="4"/>
  <c r="P87" i="4"/>
  <c r="P88" i="4"/>
  <c r="P89" i="4"/>
  <c r="P90" i="4"/>
  <c r="P91" i="4"/>
  <c r="P92" i="4"/>
  <c r="P93" i="4"/>
  <c r="P94" i="4"/>
  <c r="P95" i="4"/>
  <c r="BJ101" i="4"/>
  <c r="BJ102" i="4"/>
  <c r="BJ103" i="4" s="1"/>
  <c r="BJ105" i="4" s="1"/>
  <c r="AU101" i="4"/>
  <c r="AU102" i="4" s="1"/>
  <c r="AU103" i="4" s="1"/>
  <c r="AU105" i="4" s="1"/>
  <c r="AF102" i="4"/>
  <c r="AF103" i="4"/>
  <c r="AF105" i="4" s="1"/>
  <c r="R128" i="3"/>
  <c r="S128" i="3" s="1"/>
  <c r="Q128" i="3"/>
  <c r="P128" i="3"/>
  <c r="R127" i="3"/>
  <c r="Q127" i="3"/>
  <c r="S127" i="3"/>
  <c r="P127" i="3"/>
  <c r="P129" i="5"/>
  <c r="Q129" i="5"/>
  <c r="S129" i="5" s="1"/>
  <c r="R129" i="5"/>
  <c r="P110" i="5"/>
  <c r="P111" i="5"/>
  <c r="P130" i="5"/>
  <c r="Q130" i="5"/>
  <c r="R130" i="5"/>
  <c r="S130" i="5"/>
  <c r="P112" i="5"/>
  <c r="P109" i="5"/>
  <c r="R128" i="5"/>
  <c r="Q128" i="5"/>
  <c r="S128" i="5"/>
  <c r="P128" i="5"/>
  <c r="P108" i="5"/>
  <c r="P107" i="5"/>
  <c r="P106" i="5"/>
  <c r="R127" i="5"/>
  <c r="Q127" i="5"/>
  <c r="S127" i="5" s="1"/>
  <c r="P127" i="5"/>
  <c r="R126" i="5"/>
  <c r="Q126" i="5"/>
  <c r="S126" i="5"/>
  <c r="P126" i="5"/>
  <c r="Q114" i="5"/>
  <c r="Q113" i="5"/>
  <c r="Q115" i="5" s="1"/>
  <c r="Q95" i="5"/>
  <c r="Q94" i="5"/>
  <c r="Q96" i="5"/>
  <c r="P93" i="5"/>
  <c r="P67" i="5"/>
  <c r="P68" i="5"/>
  <c r="P69" i="5"/>
  <c r="P70" i="5"/>
  <c r="P66" i="5"/>
  <c r="P65" i="5"/>
  <c r="P64" i="5"/>
  <c r="P63" i="5"/>
  <c r="P62" i="5"/>
  <c r="P61" i="5"/>
  <c r="P108" i="7"/>
  <c r="P128" i="7"/>
  <c r="Q128" i="7"/>
  <c r="R128" i="7"/>
  <c r="S128" i="7"/>
  <c r="P109" i="7"/>
  <c r="P129" i="7"/>
  <c r="Q129" i="7"/>
  <c r="R129" i="7"/>
  <c r="S129" i="7" s="1"/>
  <c r="P110" i="7"/>
  <c r="P111" i="7"/>
  <c r="P130" i="7"/>
  <c r="Q130" i="7"/>
  <c r="R130" i="7"/>
  <c r="S130" i="7" s="1"/>
  <c r="P112" i="7"/>
  <c r="P93" i="7"/>
  <c r="P65" i="7"/>
  <c r="P66" i="7"/>
  <c r="P67" i="7"/>
  <c r="P68" i="7"/>
  <c r="P69" i="7"/>
  <c r="P70" i="7"/>
  <c r="P44" i="7"/>
  <c r="P45" i="7"/>
  <c r="P46" i="7"/>
  <c r="P47" i="7"/>
  <c r="P48" i="7"/>
  <c r="P49" i="7"/>
  <c r="P50" i="7"/>
  <c r="P29" i="7"/>
  <c r="P28" i="7"/>
  <c r="P27" i="7"/>
  <c r="P26" i="7"/>
  <c r="P25" i="7"/>
  <c r="P24" i="7"/>
  <c r="P23" i="7"/>
  <c r="P7" i="7"/>
  <c r="P8" i="7"/>
  <c r="P9" i="7"/>
  <c r="P10" i="7"/>
  <c r="P11" i="7"/>
  <c r="P12" i="7"/>
  <c r="Q114" i="7"/>
  <c r="Q113" i="7"/>
  <c r="Q115" i="7" s="1"/>
  <c r="Q95" i="7"/>
  <c r="Q94" i="7"/>
  <c r="Q96" i="7"/>
  <c r="Q72" i="7"/>
  <c r="Q71" i="7"/>
  <c r="Q73" i="7" s="1"/>
  <c r="Q52" i="7"/>
  <c r="Q51" i="7"/>
  <c r="Q53" i="7"/>
  <c r="Q31" i="7"/>
  <c r="Q30" i="7"/>
  <c r="Q32" i="7" s="1"/>
  <c r="Q14" i="7"/>
  <c r="Q13" i="7"/>
  <c r="Q15" i="7"/>
  <c r="P107" i="7"/>
  <c r="P106" i="7"/>
  <c r="R127" i="7"/>
  <c r="S127" i="7" s="1"/>
  <c r="Q127" i="7"/>
  <c r="P127" i="7"/>
  <c r="R126" i="7"/>
  <c r="Q126" i="7"/>
  <c r="S126" i="7"/>
  <c r="P126" i="7"/>
  <c r="P64" i="7"/>
  <c r="P63" i="7"/>
  <c r="P62" i="7"/>
  <c r="P61" i="7"/>
  <c r="P43" i="7"/>
  <c r="P42" i="7"/>
  <c r="P41" i="7"/>
  <c r="P40" i="7"/>
  <c r="P6" i="7"/>
  <c r="P5" i="7"/>
  <c r="P4" i="7"/>
  <c r="Q72" i="5"/>
  <c r="Q73" i="5" s="1"/>
  <c r="Q71" i="5"/>
  <c r="Q52" i="5"/>
  <c r="Q51" i="5"/>
  <c r="Q53" i="5"/>
  <c r="P45" i="5"/>
  <c r="P46" i="5"/>
  <c r="P47" i="5"/>
  <c r="P48" i="5"/>
  <c r="P49" i="5"/>
  <c r="P50" i="5"/>
  <c r="P44" i="5"/>
  <c r="P43" i="5"/>
  <c r="P42" i="5"/>
  <c r="P41" i="5"/>
  <c r="P40" i="5"/>
  <c r="R106" i="2"/>
  <c r="R113" i="2" s="1"/>
  <c r="R107" i="2"/>
  <c r="R108" i="2"/>
  <c r="R127" i="2"/>
  <c r="R109" i="2"/>
  <c r="R128" i="2"/>
  <c r="R110" i="2"/>
  <c r="R111" i="2"/>
  <c r="R129" i="2"/>
  <c r="R112" i="2"/>
  <c r="R114" i="2"/>
  <c r="R115" i="2" s="1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 s="1"/>
  <c r="R61" i="2"/>
  <c r="R62" i="2"/>
  <c r="R63" i="2"/>
  <c r="R64" i="2"/>
  <c r="R71" i="2" s="1"/>
  <c r="R65" i="2"/>
  <c r="R66" i="2"/>
  <c r="R72" i="2" s="1"/>
  <c r="R73" i="2" s="1"/>
  <c r="R67" i="2"/>
  <c r="R68" i="2"/>
  <c r="R69" i="2"/>
  <c r="R70" i="2"/>
  <c r="R40" i="2"/>
  <c r="R51" i="2" s="1"/>
  <c r="R41" i="2"/>
  <c r="R42" i="2"/>
  <c r="R43" i="2"/>
  <c r="R44" i="2"/>
  <c r="R45" i="2"/>
  <c r="R46" i="2"/>
  <c r="R47" i="2"/>
  <c r="R48" i="2"/>
  <c r="R49" i="2"/>
  <c r="R50" i="2"/>
  <c r="R23" i="2"/>
  <c r="R30" i="2" s="1"/>
  <c r="R24" i="2"/>
  <c r="R25" i="2"/>
  <c r="R31" i="2" s="1"/>
  <c r="R32" i="2" s="1"/>
  <c r="R26" i="2"/>
  <c r="R27" i="2"/>
  <c r="R28" i="2"/>
  <c r="R29" i="2"/>
  <c r="R4" i="2"/>
  <c r="R13" i="2" s="1"/>
  <c r="R5" i="2"/>
  <c r="R6" i="2"/>
  <c r="R7" i="2"/>
  <c r="R8" i="2"/>
  <c r="R9" i="2"/>
  <c r="R10" i="2"/>
  <c r="R11" i="2"/>
  <c r="R12" i="2"/>
  <c r="Q31" i="5"/>
  <c r="Q30" i="5"/>
  <c r="Q32" i="5"/>
  <c r="P28" i="5"/>
  <c r="P29" i="5"/>
  <c r="P27" i="5"/>
  <c r="P26" i="5"/>
  <c r="P25" i="5"/>
  <c r="P24" i="5"/>
  <c r="P23" i="5"/>
  <c r="Q4" i="5"/>
  <c r="S4" i="5" s="1"/>
  <c r="Q5" i="5"/>
  <c r="S5" i="5"/>
  <c r="Q6" i="5"/>
  <c r="S6" i="5" s="1"/>
  <c r="Q7" i="5"/>
  <c r="S7" i="5" s="1"/>
  <c r="Q8" i="5"/>
  <c r="S8" i="5" s="1"/>
  <c r="Q9" i="5"/>
  <c r="S9" i="5"/>
  <c r="Q10" i="5"/>
  <c r="S10" i="5" s="1"/>
  <c r="Q11" i="5"/>
  <c r="S11" i="5" s="1"/>
  <c r="Q12" i="5"/>
  <c r="S12" i="5" s="1"/>
  <c r="P12" i="5"/>
  <c r="P11" i="5"/>
  <c r="P10" i="5"/>
  <c r="P9" i="5"/>
  <c r="P8" i="5"/>
  <c r="P7" i="5"/>
  <c r="P6" i="5"/>
  <c r="P5" i="5"/>
  <c r="P4" i="5"/>
  <c r="P109" i="4"/>
  <c r="P110" i="4"/>
  <c r="P111" i="4"/>
  <c r="P130" i="4"/>
  <c r="P112" i="4"/>
  <c r="P131" i="4"/>
  <c r="P113" i="4"/>
  <c r="P114" i="4"/>
  <c r="P132" i="4"/>
  <c r="P115" i="4"/>
  <c r="P121" i="4"/>
  <c r="Q115" i="4"/>
  <c r="S115" i="4" s="1"/>
  <c r="R132" i="4"/>
  <c r="Q132" i="4"/>
  <c r="S132" i="4"/>
  <c r="Q114" i="4"/>
  <c r="S114" i="4" s="1"/>
  <c r="Q113" i="4"/>
  <c r="Q116" i="4" s="1"/>
  <c r="R131" i="4"/>
  <c r="Q131" i="4"/>
  <c r="S131" i="4"/>
  <c r="Q112" i="4"/>
  <c r="S112" i="4" s="1"/>
  <c r="R130" i="4"/>
  <c r="Q130" i="4"/>
  <c r="S130" i="4" s="1"/>
  <c r="Q111" i="4"/>
  <c r="S111" i="4" s="1"/>
  <c r="Q110" i="4"/>
  <c r="S110" i="4"/>
  <c r="R109" i="4"/>
  <c r="Q109" i="4"/>
  <c r="S109" i="4"/>
  <c r="R129" i="4"/>
  <c r="S129" i="4" s="1"/>
  <c r="Q129" i="4"/>
  <c r="P129" i="4"/>
  <c r="R128" i="4"/>
  <c r="S128" i="4" s="1"/>
  <c r="Q128" i="4"/>
  <c r="P128" i="4"/>
  <c r="Q94" i="4"/>
  <c r="S94" i="4"/>
  <c r="Q95" i="4"/>
  <c r="S95" i="4" s="1"/>
  <c r="P96" i="4"/>
  <c r="Q96" i="4"/>
  <c r="S96" i="4"/>
  <c r="Q93" i="4"/>
  <c r="S93" i="4" s="1"/>
  <c r="Q92" i="4"/>
  <c r="S92" i="4" s="1"/>
  <c r="Q91" i="4"/>
  <c r="S91" i="4" s="1"/>
  <c r="Q90" i="4"/>
  <c r="S90" i="4"/>
  <c r="Q89" i="4"/>
  <c r="S89" i="4" s="1"/>
  <c r="Q88" i="4"/>
  <c r="S88" i="4" s="1"/>
  <c r="R87" i="4"/>
  <c r="S87" i="4" s="1"/>
  <c r="Q87" i="4"/>
  <c r="R86" i="4"/>
  <c r="S86" i="4" s="1"/>
  <c r="Q86" i="4"/>
  <c r="R85" i="4"/>
  <c r="S85" i="4" s="1"/>
  <c r="Q85" i="4"/>
  <c r="R84" i="4"/>
  <c r="Q84" i="4"/>
  <c r="S84" i="4"/>
  <c r="Q73" i="4"/>
  <c r="S73" i="4"/>
  <c r="P73" i="4"/>
  <c r="Q72" i="4"/>
  <c r="S72" i="4"/>
  <c r="P72" i="4"/>
  <c r="Q71" i="4"/>
  <c r="S71" i="4" s="1"/>
  <c r="P71" i="4"/>
  <c r="Q70" i="4"/>
  <c r="S70" i="4"/>
  <c r="P70" i="4"/>
  <c r="Q69" i="4"/>
  <c r="S69" i="4" s="1"/>
  <c r="P69" i="4"/>
  <c r="Q68" i="4"/>
  <c r="S68" i="4"/>
  <c r="P68" i="4"/>
  <c r="Q67" i="4"/>
  <c r="S67" i="4" s="1"/>
  <c r="P67" i="4"/>
  <c r="Q66" i="4"/>
  <c r="S66" i="4" s="1"/>
  <c r="P66" i="4"/>
  <c r="Q65" i="4"/>
  <c r="S65" i="4"/>
  <c r="P65" i="4"/>
  <c r="R64" i="4"/>
  <c r="Q64" i="4"/>
  <c r="P64" i="4"/>
  <c r="P52" i="4"/>
  <c r="Q52" i="4"/>
  <c r="S52" i="4" s="1"/>
  <c r="P53" i="4"/>
  <c r="Q53" i="4"/>
  <c r="S53" i="4"/>
  <c r="Q51" i="4"/>
  <c r="S51" i="4"/>
  <c r="P51" i="4"/>
  <c r="Q50" i="4"/>
  <c r="S50" i="4" s="1"/>
  <c r="P50" i="4"/>
  <c r="Q49" i="4"/>
  <c r="S49" i="4"/>
  <c r="P49" i="4"/>
  <c r="Q48" i="4"/>
  <c r="S48" i="4" s="1"/>
  <c r="P48" i="4"/>
  <c r="Q47" i="4"/>
  <c r="S47" i="4" s="1"/>
  <c r="P47" i="4"/>
  <c r="Q46" i="4"/>
  <c r="S46" i="4" s="1"/>
  <c r="P46" i="4"/>
  <c r="Q45" i="4"/>
  <c r="S45" i="4" s="1"/>
  <c r="P45" i="4"/>
  <c r="R44" i="4"/>
  <c r="Q44" i="4"/>
  <c r="Q55" i="4" s="1"/>
  <c r="S44" i="4"/>
  <c r="P44" i="4"/>
  <c r="R43" i="4"/>
  <c r="S43" i="4" s="1"/>
  <c r="Q43" i="4"/>
  <c r="P43" i="4"/>
  <c r="Q29" i="4"/>
  <c r="S29" i="4" s="1"/>
  <c r="P29" i="4"/>
  <c r="Q28" i="4"/>
  <c r="S28" i="4"/>
  <c r="P28" i="4"/>
  <c r="Q27" i="4"/>
  <c r="S27" i="4" s="1"/>
  <c r="P27" i="4"/>
  <c r="Q26" i="4"/>
  <c r="S26" i="4" s="1"/>
  <c r="P26" i="4"/>
  <c r="Q25" i="4"/>
  <c r="S25" i="4" s="1"/>
  <c r="P25" i="4"/>
  <c r="Q24" i="4"/>
  <c r="S24" i="4" s="1"/>
  <c r="S30" i="4" s="1"/>
  <c r="P24" i="4"/>
  <c r="Q23" i="4"/>
  <c r="S23" i="4"/>
  <c r="P23" i="4"/>
  <c r="Q4" i="4"/>
  <c r="Q14" i="4" s="1"/>
  <c r="S4" i="4"/>
  <c r="Q5" i="4"/>
  <c r="S5" i="4"/>
  <c r="Q6" i="4"/>
  <c r="S6" i="4" s="1"/>
  <c r="Q7" i="4"/>
  <c r="S7" i="4"/>
  <c r="Q8" i="4"/>
  <c r="S8" i="4"/>
  <c r="Q9" i="4"/>
  <c r="S9" i="4"/>
  <c r="Q10" i="4"/>
  <c r="S10" i="4" s="1"/>
  <c r="Q11" i="4"/>
  <c r="S11" i="4" s="1"/>
  <c r="Q12" i="4"/>
  <c r="S12" i="4"/>
  <c r="P12" i="4"/>
  <c r="P11" i="4"/>
  <c r="P10" i="4"/>
  <c r="P9" i="4"/>
  <c r="P18" i="4" s="1"/>
  <c r="P19" i="4" s="1"/>
  <c r="P21" i="4" s="1"/>
  <c r="P8" i="4"/>
  <c r="P7" i="4"/>
  <c r="P6" i="4"/>
  <c r="P5" i="4"/>
  <c r="P4" i="4"/>
  <c r="Q27" i="6"/>
  <c r="Q27" i="2"/>
  <c r="Q27" i="3"/>
  <c r="Q107" i="3"/>
  <c r="Q107" i="6"/>
  <c r="Q107" i="2"/>
  <c r="D111" i="8"/>
  <c r="F111" i="8"/>
  <c r="R126" i="6"/>
  <c r="D109" i="8" s="1"/>
  <c r="F109" i="8" s="1"/>
  <c r="Q126" i="6"/>
  <c r="R126" i="2"/>
  <c r="Q126" i="2"/>
  <c r="R106" i="3"/>
  <c r="D110" i="8" s="1"/>
  <c r="F110" i="8" s="1"/>
  <c r="Q106" i="3"/>
  <c r="R106" i="6"/>
  <c r="Q106" i="6"/>
  <c r="Q106" i="2"/>
  <c r="Q108" i="3"/>
  <c r="Q114" i="3" s="1"/>
  <c r="Q108" i="6"/>
  <c r="Q108" i="2"/>
  <c r="R129" i="3"/>
  <c r="Q129" i="3"/>
  <c r="R127" i="6"/>
  <c r="Q127" i="6"/>
  <c r="S127" i="6" s="1"/>
  <c r="Q127" i="2"/>
  <c r="Q109" i="3"/>
  <c r="S109" i="3" s="1"/>
  <c r="Q109" i="6"/>
  <c r="Q109" i="2"/>
  <c r="R130" i="3"/>
  <c r="Q130" i="3"/>
  <c r="R128" i="6"/>
  <c r="S128" i="6" s="1"/>
  <c r="Q128" i="6"/>
  <c r="Q128" i="2"/>
  <c r="Q110" i="3"/>
  <c r="Q110" i="6"/>
  <c r="Q110" i="2"/>
  <c r="D116" i="8"/>
  <c r="F116" i="8"/>
  <c r="Q111" i="3"/>
  <c r="Q111" i="6"/>
  <c r="Q111" i="2"/>
  <c r="D117" i="8"/>
  <c r="F117" i="8" s="1"/>
  <c r="R131" i="3"/>
  <c r="Q131" i="3"/>
  <c r="S131" i="3" s="1"/>
  <c r="R129" i="6"/>
  <c r="S129" i="6" s="1"/>
  <c r="Q129" i="6"/>
  <c r="Q129" i="2"/>
  <c r="Q112" i="3"/>
  <c r="Q112" i="6"/>
  <c r="Q112" i="2"/>
  <c r="Q114" i="2" s="1"/>
  <c r="Q115" i="2" s="1"/>
  <c r="D119" i="8"/>
  <c r="F119" i="8" s="1"/>
  <c r="R125" i="6"/>
  <c r="Q125" i="6"/>
  <c r="S125" i="6" s="1"/>
  <c r="R125" i="2"/>
  <c r="D108" i="8" s="1"/>
  <c r="F108" i="8" s="1"/>
  <c r="Q125" i="2"/>
  <c r="R82" i="6"/>
  <c r="Q82" i="6"/>
  <c r="Q82" i="2"/>
  <c r="R82" i="3"/>
  <c r="Q82" i="3"/>
  <c r="R83" i="6"/>
  <c r="Q83" i="6"/>
  <c r="Q83" i="2"/>
  <c r="R83" i="3"/>
  <c r="Q83" i="3"/>
  <c r="S83" i="3" s="1"/>
  <c r="D87" i="8"/>
  <c r="F87" i="8" s="1"/>
  <c r="R84" i="6"/>
  <c r="Q84" i="6"/>
  <c r="S84" i="6" s="1"/>
  <c r="Q84" i="2"/>
  <c r="D88" i="8" s="1"/>
  <c r="F88" i="8" s="1"/>
  <c r="R84" i="3"/>
  <c r="Q84" i="3"/>
  <c r="Q85" i="6"/>
  <c r="Q85" i="2"/>
  <c r="Q85" i="3"/>
  <c r="D90" i="8" s="1"/>
  <c r="F90" i="8" s="1"/>
  <c r="Q86" i="6"/>
  <c r="Q86" i="2"/>
  <c r="Q86" i="3"/>
  <c r="Q87" i="6"/>
  <c r="S87" i="6" s="1"/>
  <c r="Q87" i="2"/>
  <c r="D92" i="8" s="1"/>
  <c r="F92" i="8" s="1"/>
  <c r="Q87" i="3"/>
  <c r="Q88" i="6"/>
  <c r="S88" i="6" s="1"/>
  <c r="Q88" i="2"/>
  <c r="Q88" i="3"/>
  <c r="Q89" i="6"/>
  <c r="Q89" i="2"/>
  <c r="Q89" i="3"/>
  <c r="D94" i="8"/>
  <c r="F94" i="8" s="1"/>
  <c r="Q90" i="6"/>
  <c r="Q90" i="2"/>
  <c r="Q90" i="3"/>
  <c r="Q91" i="6"/>
  <c r="Q91" i="2"/>
  <c r="Q91" i="3"/>
  <c r="Q92" i="6"/>
  <c r="S92" i="6" s="1"/>
  <c r="Q92" i="2"/>
  <c r="Q92" i="3"/>
  <c r="Q93" i="6"/>
  <c r="Q93" i="2"/>
  <c r="Q93" i="3"/>
  <c r="D98" i="8"/>
  <c r="F98" i="8" s="1"/>
  <c r="R81" i="6"/>
  <c r="Q81" i="6"/>
  <c r="Q81" i="2"/>
  <c r="R81" i="3"/>
  <c r="Q81" i="3"/>
  <c r="D85" i="8"/>
  <c r="F85" i="8" s="1"/>
  <c r="Q62" i="6"/>
  <c r="Q62" i="2"/>
  <c r="Q62" i="3"/>
  <c r="S62" i="3" s="1"/>
  <c r="D66" i="8"/>
  <c r="F66" i="8" s="1"/>
  <c r="Q63" i="6"/>
  <c r="Q63" i="2"/>
  <c r="Q63" i="3"/>
  <c r="Q64" i="6"/>
  <c r="S64" i="6" s="1"/>
  <c r="Q64" i="2"/>
  <c r="D68" i="8" s="1"/>
  <c r="F68" i="8" s="1"/>
  <c r="Q64" i="3"/>
  <c r="Q65" i="6"/>
  <c r="S65" i="6" s="1"/>
  <c r="Q65" i="2"/>
  <c r="Q65" i="3"/>
  <c r="D69" i="8"/>
  <c r="F69" i="8" s="1"/>
  <c r="Q66" i="6"/>
  <c r="Q66" i="2"/>
  <c r="Q66" i="3"/>
  <c r="S66" i="3" s="1"/>
  <c r="D70" i="8"/>
  <c r="F70" i="8" s="1"/>
  <c r="Q67" i="6"/>
  <c r="Q67" i="2"/>
  <c r="Q67" i="3"/>
  <c r="S67" i="3" s="1"/>
  <c r="Q68" i="6"/>
  <c r="S68" i="6" s="1"/>
  <c r="Q68" i="2"/>
  <c r="D72" i="8" s="1"/>
  <c r="F72" i="8" s="1"/>
  <c r="Q68" i="3"/>
  <c r="Q69" i="6"/>
  <c r="Q69" i="2"/>
  <c r="Q69" i="3"/>
  <c r="D73" i="8"/>
  <c r="F73" i="8" s="1"/>
  <c r="Q70" i="6"/>
  <c r="Q70" i="2"/>
  <c r="Q70" i="3"/>
  <c r="S70" i="3" s="1"/>
  <c r="D74" i="8"/>
  <c r="F74" i="8" s="1"/>
  <c r="R61" i="6"/>
  <c r="Q61" i="6"/>
  <c r="Q61" i="2"/>
  <c r="R61" i="3"/>
  <c r="Q61" i="3"/>
  <c r="R41" i="6"/>
  <c r="Q41" i="6"/>
  <c r="Q41" i="2"/>
  <c r="R41" i="3"/>
  <c r="S41" i="3" s="1"/>
  <c r="Q41" i="3"/>
  <c r="Q42" i="6"/>
  <c r="Q42" i="2"/>
  <c r="Q42" i="3"/>
  <c r="D46" i="8"/>
  <c r="F46" i="8"/>
  <c r="Q43" i="6"/>
  <c r="Q43" i="2"/>
  <c r="Q43" i="3"/>
  <c r="D47" i="8" s="1"/>
  <c r="F47" i="8" s="1"/>
  <c r="Q44" i="6"/>
  <c r="Q44" i="2"/>
  <c r="Q44" i="3"/>
  <c r="S44" i="3" s="1"/>
  <c r="Q45" i="6"/>
  <c r="S45" i="6" s="1"/>
  <c r="Q45" i="2"/>
  <c r="Q45" i="3"/>
  <c r="Q46" i="6"/>
  <c r="S46" i="6" s="1"/>
  <c r="Q46" i="2"/>
  <c r="Q46" i="3"/>
  <c r="D50" i="8"/>
  <c r="F50" i="8"/>
  <c r="Q47" i="6"/>
  <c r="Q47" i="2"/>
  <c r="Q47" i="3"/>
  <c r="S47" i="3" s="1"/>
  <c r="Q48" i="6"/>
  <c r="Q48" i="2"/>
  <c r="Q48" i="3"/>
  <c r="S48" i="3" s="1"/>
  <c r="Q49" i="6"/>
  <c r="S49" i="6" s="1"/>
  <c r="Q49" i="2"/>
  <c r="Q49" i="3"/>
  <c r="Q50" i="6"/>
  <c r="S50" i="6" s="1"/>
  <c r="Q50" i="2"/>
  <c r="Q50" i="3"/>
  <c r="D54" i="8"/>
  <c r="F54" i="8"/>
  <c r="R40" i="6"/>
  <c r="Q40" i="6"/>
  <c r="Q40" i="2"/>
  <c r="R40" i="3"/>
  <c r="S40" i="3" s="1"/>
  <c r="Q40" i="3"/>
  <c r="Q24" i="6"/>
  <c r="Q24" i="2"/>
  <c r="Q24" i="3"/>
  <c r="Q25" i="6"/>
  <c r="Q25" i="2"/>
  <c r="Q25" i="3"/>
  <c r="D26" i="8"/>
  <c r="F26" i="8" s="1"/>
  <c r="Q26" i="6"/>
  <c r="Q26" i="2"/>
  <c r="Q26" i="3"/>
  <c r="S26" i="3" s="1"/>
  <c r="Q28" i="6"/>
  <c r="S28" i="6" s="1"/>
  <c r="Q28" i="2"/>
  <c r="Q28" i="3"/>
  <c r="Q29" i="6"/>
  <c r="D30" i="8" s="1"/>
  <c r="F30" i="8" s="1"/>
  <c r="Q29" i="2"/>
  <c r="Q29" i="3"/>
  <c r="Q23" i="6"/>
  <c r="Q23" i="2"/>
  <c r="Q23" i="3"/>
  <c r="S23" i="3" s="1"/>
  <c r="D24" i="8"/>
  <c r="F24" i="8" s="1"/>
  <c r="Q5" i="6"/>
  <c r="Q5" i="2"/>
  <c r="Q5" i="3"/>
  <c r="Q6" i="6"/>
  <c r="Q6" i="2"/>
  <c r="Q6" i="3"/>
  <c r="Q7" i="6"/>
  <c r="D8" i="8" s="1"/>
  <c r="F8" i="8" s="1"/>
  <c r="Q7" i="2"/>
  <c r="Q7" i="3"/>
  <c r="Q8" i="6"/>
  <c r="Q8" i="2"/>
  <c r="Q8" i="3"/>
  <c r="D9" i="8"/>
  <c r="F9" i="8" s="1"/>
  <c r="Q9" i="6"/>
  <c r="Q9" i="2"/>
  <c r="D10" i="8" s="1"/>
  <c r="F10" i="8" s="1"/>
  <c r="Q9" i="3"/>
  <c r="Q10" i="6"/>
  <c r="S10" i="6" s="1"/>
  <c r="Q10" i="2"/>
  <c r="Q10" i="3"/>
  <c r="Q11" i="6"/>
  <c r="D12" i="8" s="1"/>
  <c r="F12" i="8" s="1"/>
  <c r="Q11" i="2"/>
  <c r="Q11" i="3"/>
  <c r="Q12" i="6"/>
  <c r="Q12" i="2"/>
  <c r="Q12" i="3"/>
  <c r="D13" i="8"/>
  <c r="F13" i="8" s="1"/>
  <c r="Q4" i="6"/>
  <c r="Q4" i="2"/>
  <c r="Q4" i="3"/>
  <c r="P106" i="6"/>
  <c r="P107" i="6"/>
  <c r="P108" i="6"/>
  <c r="P127" i="6"/>
  <c r="P109" i="6"/>
  <c r="P128" i="6"/>
  <c r="P110" i="6"/>
  <c r="P111" i="6"/>
  <c r="P129" i="6"/>
  <c r="P112" i="6"/>
  <c r="P125" i="6"/>
  <c r="P126" i="6"/>
  <c r="P118" i="6"/>
  <c r="Q113" i="6"/>
  <c r="Q51" i="6"/>
  <c r="BJ56" i="6"/>
  <c r="BJ57" i="6" s="1"/>
  <c r="BJ59" i="6" s="1"/>
  <c r="AU56" i="6"/>
  <c r="AU57" i="6" s="1"/>
  <c r="AF56" i="6"/>
  <c r="AF57" i="6"/>
  <c r="AF58" i="6" s="1"/>
  <c r="AF59" i="6"/>
  <c r="P40" i="6"/>
  <c r="P41" i="6"/>
  <c r="P42" i="6"/>
  <c r="P43" i="6"/>
  <c r="P44" i="6"/>
  <c r="P45" i="6"/>
  <c r="P46" i="6"/>
  <c r="P47" i="6"/>
  <c r="P56" i="6" s="1"/>
  <c r="P57" i="6" s="1"/>
  <c r="P48" i="6"/>
  <c r="P49" i="6"/>
  <c r="P50" i="6"/>
  <c r="S40" i="6"/>
  <c r="S41" i="6"/>
  <c r="S43" i="6"/>
  <c r="S44" i="6"/>
  <c r="S47" i="6"/>
  <c r="S48" i="6"/>
  <c r="BJ56" i="3"/>
  <c r="BJ57" i="3" s="1"/>
  <c r="AU56" i="3"/>
  <c r="AU57" i="3"/>
  <c r="AU59" i="3" s="1"/>
  <c r="AF56" i="3"/>
  <c r="AF57" i="3"/>
  <c r="AF59" i="3"/>
  <c r="P40" i="3"/>
  <c r="P41" i="3"/>
  <c r="P42" i="3"/>
  <c r="P43" i="3"/>
  <c r="P44" i="3"/>
  <c r="P45" i="3"/>
  <c r="P46" i="3"/>
  <c r="P47" i="3"/>
  <c r="P48" i="3"/>
  <c r="P49" i="3"/>
  <c r="P50" i="3"/>
  <c r="AF58" i="3"/>
  <c r="S42" i="3"/>
  <c r="S45" i="3"/>
  <c r="S46" i="3"/>
  <c r="S49" i="3"/>
  <c r="S50" i="3"/>
  <c r="Q113" i="2"/>
  <c r="Q94" i="2"/>
  <c r="P40" i="2"/>
  <c r="P41" i="2"/>
  <c r="P42" i="2"/>
  <c r="P43" i="2"/>
  <c r="P44" i="2"/>
  <c r="P45" i="2"/>
  <c r="P46" i="2"/>
  <c r="P47" i="2"/>
  <c r="P48" i="2"/>
  <c r="P49" i="2"/>
  <c r="P50" i="2"/>
  <c r="S42" i="2"/>
  <c r="S43" i="2"/>
  <c r="S46" i="2"/>
  <c r="S47" i="2"/>
  <c r="S50" i="2"/>
  <c r="P23" i="2"/>
  <c r="P24" i="2"/>
  <c r="P25" i="2"/>
  <c r="P35" i="2" s="1"/>
  <c r="P36" i="2" s="1"/>
  <c r="P26" i="2"/>
  <c r="P27" i="2"/>
  <c r="P28" i="2"/>
  <c r="P29" i="2"/>
  <c r="S106" i="6"/>
  <c r="S107" i="6"/>
  <c r="S108" i="6"/>
  <c r="S109" i="6"/>
  <c r="S110" i="6"/>
  <c r="S111" i="6"/>
  <c r="S112" i="6"/>
  <c r="S82" i="6"/>
  <c r="S83" i="6"/>
  <c r="S85" i="6"/>
  <c r="S86" i="6"/>
  <c r="S89" i="6"/>
  <c r="S90" i="6"/>
  <c r="S91" i="6"/>
  <c r="S93" i="6"/>
  <c r="S81" i="6"/>
  <c r="S62" i="6"/>
  <c r="S63" i="6"/>
  <c r="S66" i="6"/>
  <c r="S67" i="6"/>
  <c r="S69" i="6"/>
  <c r="S70" i="6"/>
  <c r="S25" i="6"/>
  <c r="S26" i="6"/>
  <c r="S27" i="6"/>
  <c r="S23" i="6"/>
  <c r="S5" i="6"/>
  <c r="S7" i="6"/>
  <c r="S8" i="6"/>
  <c r="S9" i="6"/>
  <c r="S12" i="6"/>
  <c r="S4" i="6"/>
  <c r="S106" i="3"/>
  <c r="S107" i="3"/>
  <c r="S129" i="3"/>
  <c r="S130" i="3"/>
  <c r="S110" i="3"/>
  <c r="S111" i="3"/>
  <c r="S112" i="3"/>
  <c r="S84" i="3"/>
  <c r="S85" i="3"/>
  <c r="S86" i="3"/>
  <c r="S87" i="3"/>
  <c r="S88" i="3"/>
  <c r="S89" i="3"/>
  <c r="S90" i="3"/>
  <c r="S91" i="3"/>
  <c r="S92" i="3"/>
  <c r="S93" i="3"/>
  <c r="S81" i="3"/>
  <c r="S64" i="3"/>
  <c r="S65" i="3"/>
  <c r="S68" i="3"/>
  <c r="S69" i="3"/>
  <c r="S61" i="3"/>
  <c r="S24" i="3"/>
  <c r="S25" i="3"/>
  <c r="S28" i="3"/>
  <c r="S29" i="3"/>
  <c r="BJ118" i="6"/>
  <c r="BJ119" i="6"/>
  <c r="BJ120" i="6" s="1"/>
  <c r="AU118" i="6"/>
  <c r="AU119" i="6" s="1"/>
  <c r="AU120" i="6" s="1"/>
  <c r="AU121" i="6"/>
  <c r="AF118" i="6"/>
  <c r="AF119" i="6" s="1"/>
  <c r="AF121" i="6" s="1"/>
  <c r="P119" i="6"/>
  <c r="P120" i="6" s="1"/>
  <c r="Q114" i="6"/>
  <c r="BJ118" i="3"/>
  <c r="BJ119" i="3"/>
  <c r="BJ120" i="3" s="1"/>
  <c r="BJ121" i="3"/>
  <c r="AU118" i="3"/>
  <c r="AU119" i="3" s="1"/>
  <c r="AF118" i="3"/>
  <c r="AF119" i="3" s="1"/>
  <c r="P106" i="3"/>
  <c r="P107" i="3"/>
  <c r="P108" i="3"/>
  <c r="P109" i="3"/>
  <c r="P130" i="3"/>
  <c r="P110" i="3"/>
  <c r="P118" i="3" s="1"/>
  <c r="P119" i="3" s="1"/>
  <c r="P111" i="3"/>
  <c r="P131" i="3"/>
  <c r="P112" i="3"/>
  <c r="P129" i="3"/>
  <c r="BJ98" i="6"/>
  <c r="BJ99" i="6"/>
  <c r="BJ101" i="6" s="1"/>
  <c r="BJ100" i="6"/>
  <c r="BJ102" i="6" s="1"/>
  <c r="AU98" i="6"/>
  <c r="AU99" i="6"/>
  <c r="AF99" i="6"/>
  <c r="AF100" i="6"/>
  <c r="AF102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AF101" i="6"/>
  <c r="Q95" i="6"/>
  <c r="BJ98" i="3"/>
  <c r="BJ99" i="3" s="1"/>
  <c r="AU98" i="3"/>
  <c r="AU99" i="3" s="1"/>
  <c r="AF99" i="3"/>
  <c r="AF100" i="3"/>
  <c r="AF102" i="3" s="1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AF101" i="3"/>
  <c r="BJ76" i="6"/>
  <c r="BJ77" i="6" s="1"/>
  <c r="BJ79" i="6" s="1"/>
  <c r="AU76" i="6"/>
  <c r="AU77" i="6"/>
  <c r="AU79" i="6"/>
  <c r="AF76" i="6"/>
  <c r="AF77" i="6" s="1"/>
  <c r="P61" i="6"/>
  <c r="P62" i="6"/>
  <c r="P63" i="6"/>
  <c r="P64" i="6"/>
  <c r="P65" i="6"/>
  <c r="P66" i="6"/>
  <c r="P67" i="6"/>
  <c r="P68" i="6"/>
  <c r="P69" i="6"/>
  <c r="P70" i="6"/>
  <c r="BJ78" i="6"/>
  <c r="AU78" i="6"/>
  <c r="Q71" i="6"/>
  <c r="BJ76" i="3"/>
  <c r="BJ77" i="3"/>
  <c r="BJ79" i="3" s="1"/>
  <c r="AU76" i="3"/>
  <c r="AU77" i="3"/>
  <c r="AU79" i="3"/>
  <c r="AF76" i="3"/>
  <c r="AF77" i="3" s="1"/>
  <c r="P61" i="3"/>
  <c r="P62" i="3"/>
  <c r="P63" i="3"/>
  <c r="P64" i="3"/>
  <c r="P65" i="3"/>
  <c r="P66" i="3"/>
  <c r="P67" i="3"/>
  <c r="P68" i="3"/>
  <c r="P69" i="3"/>
  <c r="P70" i="3"/>
  <c r="BJ78" i="3"/>
  <c r="AU78" i="3"/>
  <c r="BJ56" i="2"/>
  <c r="BJ57" i="2"/>
  <c r="BJ59" i="2" s="1"/>
  <c r="AU56" i="2"/>
  <c r="AU57" i="2"/>
  <c r="AU59" i="2"/>
  <c r="AF56" i="2"/>
  <c r="AF57" i="2" s="1"/>
  <c r="AU58" i="2"/>
  <c r="BJ35" i="6"/>
  <c r="BJ36" i="6" s="1"/>
  <c r="AU35" i="6"/>
  <c r="AU36" i="6"/>
  <c r="AU38" i="6" s="1"/>
  <c r="AF35" i="6"/>
  <c r="AF36" i="6" s="1"/>
  <c r="AF38" i="6" s="1"/>
  <c r="P23" i="6"/>
  <c r="P24" i="6"/>
  <c r="P25" i="6"/>
  <c r="P26" i="6"/>
  <c r="P27" i="6"/>
  <c r="P28" i="6"/>
  <c r="P29" i="6"/>
  <c r="AU37" i="6"/>
  <c r="BJ35" i="3"/>
  <c r="BJ36" i="3"/>
  <c r="BJ37" i="3" s="1"/>
  <c r="AU35" i="3"/>
  <c r="AU36" i="3"/>
  <c r="AU38" i="3" s="1"/>
  <c r="AF35" i="3"/>
  <c r="AF36" i="3"/>
  <c r="AF37" i="3" s="1"/>
  <c r="AF38" i="3"/>
  <c r="P23" i="3"/>
  <c r="P24" i="3"/>
  <c r="P35" i="3" s="1"/>
  <c r="P36" i="3" s="1"/>
  <c r="P25" i="3"/>
  <c r="P26" i="3"/>
  <c r="P27" i="3"/>
  <c r="P28" i="3"/>
  <c r="P29" i="3"/>
  <c r="AU37" i="3"/>
  <c r="Q31" i="3"/>
  <c r="BJ4" i="6"/>
  <c r="BJ18" i="6"/>
  <c r="BJ19" i="6"/>
  <c r="BJ20" i="6" s="1"/>
  <c r="BJ21" i="6"/>
  <c r="AU4" i="6"/>
  <c r="AU18" i="6"/>
  <c r="AU19" i="6" s="1"/>
  <c r="AF4" i="6"/>
  <c r="AF18" i="6"/>
  <c r="AF19" i="6"/>
  <c r="AF21" i="6"/>
  <c r="P4" i="6"/>
  <c r="P5" i="6"/>
  <c r="P18" i="6" s="1"/>
  <c r="P19" i="6" s="1"/>
  <c r="P6" i="6"/>
  <c r="P7" i="6"/>
  <c r="P8" i="6"/>
  <c r="P9" i="6"/>
  <c r="P10" i="6"/>
  <c r="P11" i="6"/>
  <c r="P12" i="6"/>
  <c r="AF20" i="6"/>
  <c r="BJ15" i="6"/>
  <c r="AU15" i="6"/>
  <c r="AF15" i="6"/>
  <c r="BJ14" i="6"/>
  <c r="AU14" i="6"/>
  <c r="AF14" i="6"/>
  <c r="BJ13" i="6"/>
  <c r="AU13" i="6"/>
  <c r="AF13" i="6"/>
  <c r="BJ4" i="3"/>
  <c r="BJ18" i="3"/>
  <c r="BJ19" i="3" s="1"/>
  <c r="AU4" i="3"/>
  <c r="AU18" i="3"/>
  <c r="AU19" i="3" s="1"/>
  <c r="AU21" i="3" s="1"/>
  <c r="AF4" i="3"/>
  <c r="AF18" i="3"/>
  <c r="AF19" i="3" s="1"/>
  <c r="P4" i="3"/>
  <c r="P5" i="3"/>
  <c r="P6" i="3"/>
  <c r="P7" i="3"/>
  <c r="P8" i="3"/>
  <c r="P9" i="3"/>
  <c r="P10" i="3"/>
  <c r="P11" i="3"/>
  <c r="P12" i="3"/>
  <c r="AU20" i="3"/>
  <c r="BJ15" i="3"/>
  <c r="AU15" i="3"/>
  <c r="AF15" i="3"/>
  <c r="S4" i="3"/>
  <c r="S5" i="3"/>
  <c r="S6" i="3"/>
  <c r="S14" i="3" s="1"/>
  <c r="S7" i="3"/>
  <c r="S8" i="3"/>
  <c r="S9" i="3"/>
  <c r="S10" i="3"/>
  <c r="S11" i="3"/>
  <c r="S12" i="3"/>
  <c r="Q14" i="3"/>
  <c r="Q15" i="3" s="1"/>
  <c r="Q13" i="3"/>
  <c r="BJ14" i="3"/>
  <c r="AU14" i="3"/>
  <c r="AF14" i="3"/>
  <c r="BJ13" i="3"/>
  <c r="AU13" i="3"/>
  <c r="AF13" i="3"/>
  <c r="P106" i="2"/>
  <c r="P107" i="2"/>
  <c r="P108" i="2"/>
  <c r="P127" i="2"/>
  <c r="P109" i="2"/>
  <c r="P128" i="2"/>
  <c r="P110" i="2"/>
  <c r="P111" i="2"/>
  <c r="P129" i="2"/>
  <c r="P112" i="2"/>
  <c r="P81" i="2"/>
  <c r="P82" i="2"/>
  <c r="P99" i="2" s="1"/>
  <c r="P100" i="2" s="1"/>
  <c r="P102" i="2" s="1"/>
  <c r="P83" i="2"/>
  <c r="P84" i="2"/>
  <c r="P85" i="2"/>
  <c r="P86" i="2"/>
  <c r="P87" i="2"/>
  <c r="P88" i="2"/>
  <c r="P89" i="2"/>
  <c r="P90" i="2"/>
  <c r="P91" i="2"/>
  <c r="P92" i="2"/>
  <c r="P93" i="2"/>
  <c r="P61" i="2"/>
  <c r="P76" i="2" s="1"/>
  <c r="P77" i="2" s="1"/>
  <c r="P78" i="2" s="1"/>
  <c r="P62" i="2"/>
  <c r="P63" i="2"/>
  <c r="P64" i="2"/>
  <c r="P65" i="2"/>
  <c r="P66" i="2"/>
  <c r="P67" i="2"/>
  <c r="P68" i="2"/>
  <c r="P69" i="2"/>
  <c r="P70" i="2"/>
  <c r="S62" i="2"/>
  <c r="S63" i="2"/>
  <c r="S64" i="2"/>
  <c r="S65" i="2"/>
  <c r="S66" i="2"/>
  <c r="S68" i="2"/>
  <c r="S69" i="2"/>
  <c r="S70" i="2"/>
  <c r="S23" i="2"/>
  <c r="S24" i="2"/>
  <c r="S25" i="2"/>
  <c r="S27" i="2"/>
  <c r="S28" i="2"/>
  <c r="S29" i="2"/>
  <c r="S6" i="2"/>
  <c r="S7" i="2"/>
  <c r="S8" i="2"/>
  <c r="S10" i="2"/>
  <c r="S11" i="2"/>
  <c r="S12" i="2"/>
  <c r="BJ98" i="2"/>
  <c r="BJ99" i="2"/>
  <c r="AU98" i="2"/>
  <c r="AU99" i="2" s="1"/>
  <c r="AF99" i="2"/>
  <c r="AF100" i="2"/>
  <c r="P125" i="2"/>
  <c r="P126" i="2"/>
  <c r="S125" i="2"/>
  <c r="S126" i="2"/>
  <c r="S106" i="2"/>
  <c r="S113" i="2" s="1"/>
  <c r="S107" i="2"/>
  <c r="S108" i="2"/>
  <c r="S127" i="2"/>
  <c r="S109" i="2"/>
  <c r="S128" i="2"/>
  <c r="S110" i="2"/>
  <c r="S111" i="2"/>
  <c r="S129" i="2"/>
  <c r="S112" i="2"/>
  <c r="S81" i="2"/>
  <c r="S82" i="2"/>
  <c r="S83" i="2"/>
  <c r="S84" i="2"/>
  <c r="S85" i="2"/>
  <c r="S86" i="2"/>
  <c r="S88" i="2"/>
  <c r="S89" i="2"/>
  <c r="S90" i="2"/>
  <c r="S92" i="2"/>
  <c r="S93" i="2"/>
  <c r="P4" i="2"/>
  <c r="P5" i="2"/>
  <c r="P6" i="2"/>
  <c r="P7" i="2"/>
  <c r="P8" i="2"/>
  <c r="P9" i="2"/>
  <c r="P10" i="2"/>
  <c r="P11" i="2"/>
  <c r="P12" i="2"/>
  <c r="Q14" i="2"/>
  <c r="Q31" i="2"/>
  <c r="BJ121" i="4"/>
  <c r="BJ122" i="4" s="1"/>
  <c r="BJ124" i="4" s="1"/>
  <c r="AU121" i="4"/>
  <c r="AU122" i="4" s="1"/>
  <c r="AF121" i="4"/>
  <c r="AF122" i="4"/>
  <c r="AF124" i="4" s="1"/>
  <c r="P122" i="4"/>
  <c r="P124" i="4"/>
  <c r="BJ123" i="4"/>
  <c r="AF123" i="4"/>
  <c r="P123" i="4"/>
  <c r="BJ104" i="4"/>
  <c r="AU104" i="4"/>
  <c r="AF104" i="4"/>
  <c r="BJ79" i="4"/>
  <c r="BJ80" i="4" s="1"/>
  <c r="AU79" i="4"/>
  <c r="AU80" i="4"/>
  <c r="AU82" i="4" s="1"/>
  <c r="AF79" i="4"/>
  <c r="AF80" i="4"/>
  <c r="AF81" i="4" s="1"/>
  <c r="AF82" i="4"/>
  <c r="P79" i="4"/>
  <c r="P80" i="4" s="1"/>
  <c r="BJ59" i="4"/>
  <c r="BJ60" i="4" s="1"/>
  <c r="AU59" i="4"/>
  <c r="AU60" i="4"/>
  <c r="AU62" i="4" s="1"/>
  <c r="AF59" i="4"/>
  <c r="AF60" i="4"/>
  <c r="AF61" i="4" s="1"/>
  <c r="AF62" i="4"/>
  <c r="P59" i="4"/>
  <c r="P60" i="4" s="1"/>
  <c r="BJ38" i="4"/>
  <c r="BJ39" i="4" s="1"/>
  <c r="AU38" i="4"/>
  <c r="AU39" i="4"/>
  <c r="AU41" i="4" s="1"/>
  <c r="AF38" i="4"/>
  <c r="AF39" i="4"/>
  <c r="AF40" i="4" s="1"/>
  <c r="AF41" i="4"/>
  <c r="P38" i="4"/>
  <c r="P39" i="4" s="1"/>
  <c r="BJ4" i="4"/>
  <c r="BJ18" i="4" s="1"/>
  <c r="BJ19" i="4" s="1"/>
  <c r="AU4" i="4"/>
  <c r="AU18" i="4" s="1"/>
  <c r="AU19" i="4" s="1"/>
  <c r="AU21" i="4" s="1"/>
  <c r="AF4" i="4"/>
  <c r="AF18" i="4" s="1"/>
  <c r="AF19" i="4" s="1"/>
  <c r="P20" i="4"/>
  <c r="BJ15" i="4"/>
  <c r="AU15" i="4"/>
  <c r="AF15" i="4"/>
  <c r="BJ14" i="4"/>
  <c r="AU14" i="4"/>
  <c r="AF14" i="4"/>
  <c r="BJ13" i="4"/>
  <c r="AU13" i="4"/>
  <c r="AF13" i="4"/>
  <c r="BJ12" i="4"/>
  <c r="AU12" i="4"/>
  <c r="AF12" i="4"/>
  <c r="BJ11" i="4"/>
  <c r="AU11" i="4"/>
  <c r="AF11" i="4"/>
  <c r="BJ10" i="4"/>
  <c r="AU10" i="4"/>
  <c r="AF10" i="4"/>
  <c r="BJ9" i="4"/>
  <c r="AU9" i="4"/>
  <c r="AF9" i="4"/>
  <c r="BJ8" i="4"/>
  <c r="AU8" i="4"/>
  <c r="AF8" i="4"/>
  <c r="BJ7" i="4"/>
  <c r="AU7" i="4"/>
  <c r="AF7" i="4"/>
  <c r="BJ6" i="4"/>
  <c r="AU6" i="4"/>
  <c r="AF6" i="4"/>
  <c r="BJ5" i="4"/>
  <c r="AU5" i="4"/>
  <c r="AF5" i="4"/>
  <c r="BJ12" i="3"/>
  <c r="AU12" i="3"/>
  <c r="AF12" i="3"/>
  <c r="BJ11" i="3"/>
  <c r="AU11" i="3"/>
  <c r="AF11" i="3"/>
  <c r="BJ10" i="3"/>
  <c r="AU10" i="3"/>
  <c r="AF10" i="3"/>
  <c r="BJ9" i="3"/>
  <c r="AU9" i="3"/>
  <c r="AF9" i="3"/>
  <c r="BJ8" i="3"/>
  <c r="AU8" i="3"/>
  <c r="AF8" i="3"/>
  <c r="BJ7" i="3"/>
  <c r="AU7" i="3"/>
  <c r="AF7" i="3"/>
  <c r="BJ6" i="3"/>
  <c r="AU6" i="3"/>
  <c r="AF6" i="3"/>
  <c r="BJ5" i="3"/>
  <c r="AU5" i="3"/>
  <c r="AF5" i="3"/>
  <c r="BJ118" i="5"/>
  <c r="BJ119" i="5" s="1"/>
  <c r="BJ121" i="5" s="1"/>
  <c r="AU118" i="5"/>
  <c r="AU119" i="5"/>
  <c r="AU120" i="5" s="1"/>
  <c r="AF118" i="5"/>
  <c r="AF119" i="5" s="1"/>
  <c r="AF121" i="5" s="1"/>
  <c r="P118" i="5"/>
  <c r="P119" i="5" s="1"/>
  <c r="BJ120" i="5"/>
  <c r="AF120" i="5"/>
  <c r="BJ98" i="5"/>
  <c r="BJ99" i="5" s="1"/>
  <c r="AU98" i="5"/>
  <c r="AU99" i="5"/>
  <c r="AU100" i="5" s="1"/>
  <c r="AF99" i="5"/>
  <c r="AF100" i="5" s="1"/>
  <c r="AF101" i="5" s="1"/>
  <c r="S101" i="5"/>
  <c r="BJ76" i="5"/>
  <c r="BJ77" i="5" s="1"/>
  <c r="AU76" i="5"/>
  <c r="AU77" i="5"/>
  <c r="AU79" i="5" s="1"/>
  <c r="AF76" i="5"/>
  <c r="AF77" i="5"/>
  <c r="AF78" i="5" s="1"/>
  <c r="AF79" i="5"/>
  <c r="P76" i="5"/>
  <c r="P77" i="5" s="1"/>
  <c r="BJ56" i="5"/>
  <c r="BJ57" i="5" s="1"/>
  <c r="AU56" i="5"/>
  <c r="AU57" i="5"/>
  <c r="AU59" i="5" s="1"/>
  <c r="AF56" i="5"/>
  <c r="AF57" i="5"/>
  <c r="AF58" i="5" s="1"/>
  <c r="AF59" i="5"/>
  <c r="P56" i="5"/>
  <c r="P57" i="5" s="1"/>
  <c r="BJ35" i="5"/>
  <c r="BJ36" i="5" s="1"/>
  <c r="AU35" i="5"/>
  <c r="AU36" i="5"/>
  <c r="AU38" i="5" s="1"/>
  <c r="AF35" i="5"/>
  <c r="AF36" i="5"/>
  <c r="AF37" i="5" s="1"/>
  <c r="AF38" i="5"/>
  <c r="P35" i="5"/>
  <c r="P36" i="5" s="1"/>
  <c r="BJ4" i="5"/>
  <c r="BJ18" i="5" s="1"/>
  <c r="BJ19" i="5" s="1"/>
  <c r="AU4" i="5"/>
  <c r="AU18" i="5" s="1"/>
  <c r="AU19" i="5" s="1"/>
  <c r="AU21" i="5" s="1"/>
  <c r="AF4" i="5"/>
  <c r="AF18" i="5" s="1"/>
  <c r="AF19" i="5" s="1"/>
  <c r="P18" i="5"/>
  <c r="P19" i="5" s="1"/>
  <c r="P21" i="5" s="1"/>
  <c r="AU20" i="5"/>
  <c r="P20" i="5"/>
  <c r="BJ15" i="5"/>
  <c r="AU15" i="5"/>
  <c r="AF15" i="5"/>
  <c r="BJ14" i="5"/>
  <c r="AU14" i="5"/>
  <c r="AF14" i="5"/>
  <c r="BJ13" i="5"/>
  <c r="AU13" i="5"/>
  <c r="AF13" i="5"/>
  <c r="BJ12" i="5"/>
  <c r="AU12" i="5"/>
  <c r="AF12" i="5"/>
  <c r="BJ11" i="5"/>
  <c r="AU11" i="5"/>
  <c r="AF11" i="5"/>
  <c r="BJ10" i="5"/>
  <c r="AU10" i="5"/>
  <c r="AF10" i="5"/>
  <c r="BJ9" i="5"/>
  <c r="AU9" i="5"/>
  <c r="AF9" i="5"/>
  <c r="BJ8" i="5"/>
  <c r="AU8" i="5"/>
  <c r="AF8" i="5"/>
  <c r="BJ7" i="5"/>
  <c r="AU7" i="5"/>
  <c r="AF7" i="5"/>
  <c r="BJ6" i="5"/>
  <c r="AU6" i="5"/>
  <c r="AF6" i="5"/>
  <c r="BJ5" i="5"/>
  <c r="AU5" i="5"/>
  <c r="AF5" i="5"/>
  <c r="BJ12" i="6"/>
  <c r="AU12" i="6"/>
  <c r="AF12" i="6"/>
  <c r="BJ11" i="6"/>
  <c r="AU11" i="6"/>
  <c r="AF11" i="6"/>
  <c r="BJ10" i="6"/>
  <c r="AU10" i="6"/>
  <c r="AF10" i="6"/>
  <c r="BJ9" i="6"/>
  <c r="AU9" i="6"/>
  <c r="AF9" i="6"/>
  <c r="BJ8" i="6"/>
  <c r="AU8" i="6"/>
  <c r="AF8" i="6"/>
  <c r="BJ7" i="6"/>
  <c r="AU7" i="6"/>
  <c r="AF7" i="6"/>
  <c r="BJ6" i="6"/>
  <c r="AU6" i="6"/>
  <c r="AF6" i="6"/>
  <c r="BJ5" i="6"/>
  <c r="AU5" i="6"/>
  <c r="AF5" i="6"/>
  <c r="BJ118" i="2"/>
  <c r="BJ119" i="2" s="1"/>
  <c r="AU118" i="2"/>
  <c r="AU119" i="2"/>
  <c r="AU121" i="2" s="1"/>
  <c r="AF118" i="2"/>
  <c r="AF119" i="2" s="1"/>
  <c r="AF121" i="2" s="1"/>
  <c r="AU120" i="2"/>
  <c r="BJ76" i="2"/>
  <c r="BJ77" i="2"/>
  <c r="BJ79" i="2"/>
  <c r="AU76" i="2"/>
  <c r="AU77" i="2" s="1"/>
  <c r="AU79" i="2" s="1"/>
  <c r="AF76" i="2"/>
  <c r="AF77" i="2"/>
  <c r="BJ78" i="2"/>
  <c r="BJ35" i="2"/>
  <c r="BJ36" i="2"/>
  <c r="BJ38" i="2" s="1"/>
  <c r="AU35" i="2"/>
  <c r="AU36" i="2"/>
  <c r="AU38" i="2" s="1"/>
  <c r="AF35" i="2"/>
  <c r="AF36" i="2"/>
  <c r="AF38" i="2" s="1"/>
  <c r="AU37" i="2"/>
  <c r="AF37" i="2"/>
  <c r="BJ4" i="2"/>
  <c r="BJ18" i="2" s="1"/>
  <c r="BJ19" i="2" s="1"/>
  <c r="AU4" i="2"/>
  <c r="AU18" i="2" s="1"/>
  <c r="AU19" i="2" s="1"/>
  <c r="AF4" i="2"/>
  <c r="AF5" i="2"/>
  <c r="AF18" i="2"/>
  <c r="AF19" i="2" s="1"/>
  <c r="AF20" i="2" s="1"/>
  <c r="AF21" i="2"/>
  <c r="BJ15" i="2"/>
  <c r="AU15" i="2"/>
  <c r="AF15" i="2"/>
  <c r="BJ14" i="2"/>
  <c r="AU14" i="2"/>
  <c r="AF14" i="2"/>
  <c r="BJ13" i="2"/>
  <c r="AU13" i="2"/>
  <c r="AF13" i="2"/>
  <c r="BJ12" i="2"/>
  <c r="AU12" i="2"/>
  <c r="AF12" i="2"/>
  <c r="BJ11" i="2"/>
  <c r="AU11" i="2"/>
  <c r="AF11" i="2"/>
  <c r="BJ10" i="2"/>
  <c r="AU10" i="2"/>
  <c r="AF10" i="2"/>
  <c r="BJ9" i="2"/>
  <c r="AU9" i="2"/>
  <c r="AF9" i="2"/>
  <c r="BJ8" i="2"/>
  <c r="AU8" i="2"/>
  <c r="AF8" i="2"/>
  <c r="BJ7" i="2"/>
  <c r="AU7" i="2"/>
  <c r="AF7" i="2"/>
  <c r="BJ6" i="2"/>
  <c r="AU6" i="2"/>
  <c r="AF6" i="2"/>
  <c r="BJ5" i="2"/>
  <c r="AU5" i="2"/>
  <c r="BJ118" i="7"/>
  <c r="BJ119" i="7" s="1"/>
  <c r="BJ121" i="7" s="1"/>
  <c r="AU118" i="7"/>
  <c r="AU119" i="7"/>
  <c r="AU121" i="7" s="1"/>
  <c r="AF118" i="7"/>
  <c r="AF119" i="7" s="1"/>
  <c r="AF121" i="7" s="1"/>
  <c r="P118" i="7"/>
  <c r="P119" i="7"/>
  <c r="BJ120" i="7"/>
  <c r="BJ98" i="7"/>
  <c r="BJ99" i="7" s="1"/>
  <c r="BJ100" i="7" s="1"/>
  <c r="AU98" i="7"/>
  <c r="AU99" i="7"/>
  <c r="AU100" i="7" s="1"/>
  <c r="AU101" i="7"/>
  <c r="AF99" i="7"/>
  <c r="AF100" i="7" s="1"/>
  <c r="AF101" i="7" s="1"/>
  <c r="S101" i="7"/>
  <c r="BJ76" i="7"/>
  <c r="BJ77" i="7" s="1"/>
  <c r="AU76" i="7"/>
  <c r="AU77" i="7"/>
  <c r="AU79" i="7" s="1"/>
  <c r="AF76" i="7"/>
  <c r="AF77" i="7" s="1"/>
  <c r="AF79" i="7" s="1"/>
  <c r="P76" i="7"/>
  <c r="P77" i="7"/>
  <c r="AF78" i="7"/>
  <c r="BJ56" i="7"/>
  <c r="BJ57" i="7" s="1"/>
  <c r="AU56" i="7"/>
  <c r="AU57" i="7"/>
  <c r="AU59" i="7" s="1"/>
  <c r="AF56" i="7"/>
  <c r="AF57" i="7" s="1"/>
  <c r="AF59" i="7"/>
  <c r="P56" i="7"/>
  <c r="P57" i="7"/>
  <c r="AF58" i="7"/>
  <c r="BJ35" i="7"/>
  <c r="BJ36" i="7" s="1"/>
  <c r="AU35" i="7"/>
  <c r="AU36" i="7"/>
  <c r="AF35" i="7"/>
  <c r="AF36" i="7" s="1"/>
  <c r="AF38" i="7" s="1"/>
  <c r="P35" i="7"/>
  <c r="P36" i="7" s="1"/>
  <c r="BJ4" i="7"/>
  <c r="BJ18" i="7" s="1"/>
  <c r="BJ19" i="7" s="1"/>
  <c r="AU4" i="7"/>
  <c r="AU18" i="7" s="1"/>
  <c r="AU19" i="7"/>
  <c r="AU21" i="7" s="1"/>
  <c r="AF4" i="7"/>
  <c r="AF18" i="7" s="1"/>
  <c r="AF19" i="7" s="1"/>
  <c r="P18" i="7"/>
  <c r="P19" i="7" s="1"/>
  <c r="P21" i="7" s="1"/>
  <c r="BJ15" i="7"/>
  <c r="AU15" i="7"/>
  <c r="AF15" i="7"/>
  <c r="BJ14" i="7"/>
  <c r="AU14" i="7"/>
  <c r="AF14" i="7"/>
  <c r="BJ13" i="7"/>
  <c r="AU13" i="7"/>
  <c r="AF13" i="7"/>
  <c r="BJ12" i="7"/>
  <c r="AU12" i="7"/>
  <c r="AF12" i="7"/>
  <c r="BJ11" i="7"/>
  <c r="AU11" i="7"/>
  <c r="AF11" i="7"/>
  <c r="BJ10" i="7"/>
  <c r="AU10" i="7"/>
  <c r="AF10" i="7"/>
  <c r="BJ9" i="7"/>
  <c r="AU9" i="7"/>
  <c r="AF9" i="7"/>
  <c r="BJ8" i="7"/>
  <c r="AU8" i="7"/>
  <c r="AF8" i="7"/>
  <c r="BJ7" i="7"/>
  <c r="AU7" i="7"/>
  <c r="AF7" i="7"/>
  <c r="BJ6" i="7"/>
  <c r="AU6" i="7"/>
  <c r="AF6" i="7"/>
  <c r="BJ5" i="7"/>
  <c r="AU5" i="7"/>
  <c r="AF5" i="7"/>
  <c r="BJ78" i="7" l="1"/>
  <c r="BJ79" i="7"/>
  <c r="BJ59" i="7"/>
  <c r="BJ58" i="7"/>
  <c r="P21" i="6"/>
  <c r="P20" i="6"/>
  <c r="AU21" i="2"/>
  <c r="AU20" i="2"/>
  <c r="AF21" i="4"/>
  <c r="AF20" i="4"/>
  <c r="BJ61" i="4"/>
  <c r="BJ62" i="4"/>
  <c r="AF20" i="3"/>
  <c r="AF21" i="3"/>
  <c r="AF59" i="2"/>
  <c r="AF58" i="2"/>
  <c r="P37" i="2"/>
  <c r="P38" i="2"/>
  <c r="AF21" i="7"/>
  <c r="AF20" i="7"/>
  <c r="BJ81" i="4"/>
  <c r="BJ82" i="4"/>
  <c r="BJ21" i="2"/>
  <c r="BJ20" i="2"/>
  <c r="BJ78" i="5"/>
  <c r="BJ79" i="5"/>
  <c r="BJ40" i="4"/>
  <c r="BJ41" i="4"/>
  <c r="P82" i="4"/>
  <c r="P81" i="4"/>
  <c r="BJ21" i="7"/>
  <c r="BJ20" i="7"/>
  <c r="AF21" i="5"/>
  <c r="AF20" i="5"/>
  <c r="BJ58" i="5"/>
  <c r="BJ59" i="5"/>
  <c r="BJ21" i="4"/>
  <c r="BJ20" i="4"/>
  <c r="P62" i="4"/>
  <c r="P61" i="4"/>
  <c r="AU123" i="4"/>
  <c r="AU124" i="4"/>
  <c r="P37" i="3"/>
  <c r="P38" i="3"/>
  <c r="AF79" i="3"/>
  <c r="AF78" i="3"/>
  <c r="BJ37" i="7"/>
  <c r="BJ38" i="7"/>
  <c r="P38" i="7"/>
  <c r="P37" i="7"/>
  <c r="BJ37" i="5"/>
  <c r="BJ38" i="5"/>
  <c r="P79" i="5"/>
  <c r="P78" i="5"/>
  <c r="P41" i="4"/>
  <c r="P40" i="4"/>
  <c r="BJ58" i="3"/>
  <c r="BJ59" i="3"/>
  <c r="BJ21" i="5"/>
  <c r="BJ20" i="5"/>
  <c r="BJ20" i="3"/>
  <c r="BJ21" i="3"/>
  <c r="P59" i="5"/>
  <c r="P58" i="5"/>
  <c r="P38" i="5"/>
  <c r="P37" i="5"/>
  <c r="AF79" i="6"/>
  <c r="AF78" i="6"/>
  <c r="BJ38" i="6"/>
  <c r="BJ37" i="6"/>
  <c r="Q71" i="2"/>
  <c r="D65" i="8"/>
  <c r="F65" i="8" s="1"/>
  <c r="S61" i="2"/>
  <c r="AF37" i="7"/>
  <c r="AF120" i="7"/>
  <c r="BJ37" i="2"/>
  <c r="AU101" i="5"/>
  <c r="AU20" i="4"/>
  <c r="S114" i="2"/>
  <c r="S115" i="2" s="1"/>
  <c r="S13" i="3"/>
  <c r="S15" i="3" s="1"/>
  <c r="P35" i="6"/>
  <c r="P36" i="6" s="1"/>
  <c r="P76" i="3"/>
  <c r="P77" i="3" s="1"/>
  <c r="Q96" i="6"/>
  <c r="AU59" i="6"/>
  <c r="AU58" i="6"/>
  <c r="S61" i="6"/>
  <c r="Q72" i="6"/>
  <c r="Q73" i="6" s="1"/>
  <c r="D96" i="8"/>
  <c r="F96" i="8" s="1"/>
  <c r="S91" i="2"/>
  <c r="BJ100" i="3"/>
  <c r="BJ102" i="3" s="1"/>
  <c r="BJ101" i="3"/>
  <c r="AU120" i="7"/>
  <c r="AU78" i="2"/>
  <c r="AU121" i="5"/>
  <c r="S9" i="2"/>
  <c r="P121" i="6"/>
  <c r="S95" i="3"/>
  <c r="S96" i="3" s="1"/>
  <c r="D27" i="8"/>
  <c r="F27" i="8" s="1"/>
  <c r="Q30" i="2"/>
  <c r="S26" i="2"/>
  <c r="S31" i="2" s="1"/>
  <c r="S32" i="2" s="1"/>
  <c r="D86" i="8"/>
  <c r="F86" i="8" s="1"/>
  <c r="S82" i="3"/>
  <c r="S94" i="3" s="1"/>
  <c r="S13" i="4"/>
  <c r="P101" i="2"/>
  <c r="AU101" i="2"/>
  <c r="AU100" i="2"/>
  <c r="AU102" i="2" s="1"/>
  <c r="S30" i="2"/>
  <c r="AF37" i="6"/>
  <c r="P99" i="3"/>
  <c r="P100" i="3" s="1"/>
  <c r="AU101" i="6"/>
  <c r="AU100" i="6"/>
  <c r="AU102" i="6" s="1"/>
  <c r="D5" i="8"/>
  <c r="F5" i="8" s="1"/>
  <c r="Q13" i="2"/>
  <c r="Q15" i="2" s="1"/>
  <c r="S4" i="2"/>
  <c r="D45" i="8"/>
  <c r="F45" i="8" s="1"/>
  <c r="S41" i="2"/>
  <c r="D28" i="8"/>
  <c r="F28" i="8" s="1"/>
  <c r="S27" i="3"/>
  <c r="S30" i="3" s="1"/>
  <c r="Q30" i="3"/>
  <c r="AF102" i="2"/>
  <c r="AF101" i="2"/>
  <c r="S63" i="3"/>
  <c r="Q72" i="3"/>
  <c r="P120" i="5"/>
  <c r="P121" i="5"/>
  <c r="P79" i="2"/>
  <c r="P18" i="2"/>
  <c r="P19" i="2" s="1"/>
  <c r="Q32" i="3"/>
  <c r="S95" i="6"/>
  <c r="S94" i="6"/>
  <c r="D49" i="8"/>
  <c r="F49" i="8" s="1"/>
  <c r="S45" i="2"/>
  <c r="AF78" i="2"/>
  <c r="AF79" i="2"/>
  <c r="AF120" i="2"/>
  <c r="Q72" i="2"/>
  <c r="Q73" i="2" s="1"/>
  <c r="P18" i="3"/>
  <c r="P19" i="3" s="1"/>
  <c r="Q71" i="3"/>
  <c r="P99" i="6"/>
  <c r="P100" i="6" s="1"/>
  <c r="AU121" i="3"/>
  <c r="AU120" i="3"/>
  <c r="P56" i="3"/>
  <c r="P57" i="3" s="1"/>
  <c r="D6" i="8"/>
  <c r="F6" i="8" s="1"/>
  <c r="S5" i="2"/>
  <c r="Q52" i="2"/>
  <c r="D67" i="8"/>
  <c r="F67" i="8" s="1"/>
  <c r="BJ121" i="2"/>
  <c r="BJ120" i="2"/>
  <c r="BJ100" i="2"/>
  <c r="BJ102" i="2" s="1"/>
  <c r="BJ101" i="2"/>
  <c r="P59" i="7"/>
  <c r="P58" i="7"/>
  <c r="Q32" i="2"/>
  <c r="AU21" i="6"/>
  <c r="AU20" i="6"/>
  <c r="P76" i="6"/>
  <c r="P77" i="6" s="1"/>
  <c r="P121" i="3"/>
  <c r="P120" i="3"/>
  <c r="P58" i="6"/>
  <c r="P59" i="6"/>
  <c r="D53" i="8"/>
  <c r="F53" i="8" s="1"/>
  <c r="S49" i="2"/>
  <c r="P79" i="7"/>
  <c r="P78" i="7"/>
  <c r="P20" i="7"/>
  <c r="P120" i="7"/>
  <c r="P121" i="7"/>
  <c r="BJ100" i="5"/>
  <c r="BJ101" i="5"/>
  <c r="AU20" i="7"/>
  <c r="AU38" i="7"/>
  <c r="AU37" i="7"/>
  <c r="BJ101" i="7"/>
  <c r="P118" i="2"/>
  <c r="P119" i="2" s="1"/>
  <c r="BJ38" i="3"/>
  <c r="AU100" i="3"/>
  <c r="AU102" i="3" s="1"/>
  <c r="AU101" i="3"/>
  <c r="D71" i="8"/>
  <c r="F71" i="8" s="1"/>
  <c r="S67" i="2"/>
  <c r="S14" i="5"/>
  <c r="S13" i="5"/>
  <c r="S14" i="7"/>
  <c r="S15" i="7" s="1"/>
  <c r="S13" i="7"/>
  <c r="S31" i="7"/>
  <c r="S30" i="7"/>
  <c r="S95" i="7"/>
  <c r="S94" i="7"/>
  <c r="S108" i="3"/>
  <c r="S114" i="6"/>
  <c r="S113" i="6"/>
  <c r="S24" i="6"/>
  <c r="Q30" i="6"/>
  <c r="D115" i="8"/>
  <c r="F115" i="8" s="1"/>
  <c r="S14" i="4"/>
  <c r="S15" i="4" s="1"/>
  <c r="S54" i="4"/>
  <c r="S114" i="7"/>
  <c r="S113" i="7"/>
  <c r="S104" i="4"/>
  <c r="Q14" i="6"/>
  <c r="S126" i="6"/>
  <c r="Q52" i="3"/>
  <c r="Q53" i="3" s="1"/>
  <c r="D52" i="8"/>
  <c r="F52" i="8" s="1"/>
  <c r="S48" i="2"/>
  <c r="S44" i="2"/>
  <c r="D48" i="8"/>
  <c r="F48" i="8" s="1"/>
  <c r="D97" i="8"/>
  <c r="F97" i="8" s="1"/>
  <c r="D93" i="8"/>
  <c r="F93" i="8" s="1"/>
  <c r="D113" i="8"/>
  <c r="F113" i="8" s="1"/>
  <c r="R32" i="6"/>
  <c r="R56" i="4"/>
  <c r="S51" i="5"/>
  <c r="S52" i="5"/>
  <c r="Q95" i="2"/>
  <c r="Q96" i="2" s="1"/>
  <c r="Q31" i="6"/>
  <c r="BJ58" i="2"/>
  <c r="Q115" i="6"/>
  <c r="Q51" i="2"/>
  <c r="AU58" i="3"/>
  <c r="Q94" i="6"/>
  <c r="D95" i="8"/>
  <c r="F95" i="8" s="1"/>
  <c r="D91" i="8"/>
  <c r="F91" i="8" s="1"/>
  <c r="D114" i="8"/>
  <c r="F114" i="8" s="1"/>
  <c r="Q75" i="4"/>
  <c r="Q76" i="4" s="1"/>
  <c r="Q74" i="4"/>
  <c r="S72" i="5"/>
  <c r="S71" i="5"/>
  <c r="AU58" i="7"/>
  <c r="AU78" i="7"/>
  <c r="AU37" i="5"/>
  <c r="AU58" i="5"/>
  <c r="AU78" i="5"/>
  <c r="AU40" i="4"/>
  <c r="AU61" i="4"/>
  <c r="AU81" i="4"/>
  <c r="BJ121" i="6"/>
  <c r="S29" i="6"/>
  <c r="BJ58" i="6"/>
  <c r="D11" i="8"/>
  <c r="F11" i="8" s="1"/>
  <c r="D7" i="8"/>
  <c r="F7" i="8" s="1"/>
  <c r="D51" i="8"/>
  <c r="F51" i="8" s="1"/>
  <c r="Q52" i="6"/>
  <c r="Q53" i="6" s="1"/>
  <c r="S42" i="6"/>
  <c r="S52" i="6" s="1"/>
  <c r="Q54" i="4"/>
  <c r="Q56" i="4" s="1"/>
  <c r="S64" i="4"/>
  <c r="S98" i="4"/>
  <c r="S99" i="4" s="1"/>
  <c r="S97" i="4"/>
  <c r="R115" i="6"/>
  <c r="S95" i="5"/>
  <c r="AF120" i="3"/>
  <c r="AF121" i="3"/>
  <c r="S6" i="6"/>
  <c r="Q13" i="6"/>
  <c r="D44" i="8"/>
  <c r="F44" i="8" s="1"/>
  <c r="S40" i="2"/>
  <c r="S43" i="3"/>
  <c r="S52" i="3" s="1"/>
  <c r="Q51" i="3"/>
  <c r="D118" i="8"/>
  <c r="F118" i="8" s="1"/>
  <c r="D112" i="8"/>
  <c r="F112" i="8" s="1"/>
  <c r="S31" i="4"/>
  <c r="S32" i="4" s="1"/>
  <c r="D29" i="8"/>
  <c r="F29" i="8" s="1"/>
  <c r="S30" i="5"/>
  <c r="S31" i="5"/>
  <c r="S72" i="7"/>
  <c r="S73" i="7" s="1"/>
  <c r="S71" i="7"/>
  <c r="S87" i="2"/>
  <c r="S95" i="2" s="1"/>
  <c r="Q113" i="3"/>
  <c r="Q115" i="3" s="1"/>
  <c r="AF120" i="6"/>
  <c r="S11" i="6"/>
  <c r="P56" i="2"/>
  <c r="P57" i="2" s="1"/>
  <c r="D25" i="8"/>
  <c r="F25" i="8" s="1"/>
  <c r="Q95" i="3"/>
  <c r="Q96" i="3" s="1"/>
  <c r="Q94" i="3"/>
  <c r="S94" i="5"/>
  <c r="S51" i="7"/>
  <c r="S52" i="7"/>
  <c r="S55" i="4"/>
  <c r="S56" i="4" s="1"/>
  <c r="Q117" i="4"/>
  <c r="Q118" i="4" s="1"/>
  <c r="Q13" i="4"/>
  <c r="Q15" i="4" s="1"/>
  <c r="Q30" i="4"/>
  <c r="Q13" i="5"/>
  <c r="R71" i="5"/>
  <c r="R73" i="5" s="1"/>
  <c r="Q31" i="4"/>
  <c r="Q97" i="4"/>
  <c r="S116" i="4"/>
  <c r="Q14" i="5"/>
  <c r="R30" i="3"/>
  <c r="R32" i="3" s="1"/>
  <c r="Q98" i="4"/>
  <c r="Q99" i="4" s="1"/>
  <c r="S113" i="4"/>
  <c r="S117" i="4" s="1"/>
  <c r="S118" i="4" s="1"/>
  <c r="R52" i="2"/>
  <c r="R53" i="2" s="1"/>
  <c r="R71" i="6"/>
  <c r="R73" i="6" s="1"/>
  <c r="R94" i="3"/>
  <c r="R96" i="3" s="1"/>
  <c r="R13" i="4"/>
  <c r="R15" i="4" s="1"/>
  <c r="R94" i="5"/>
  <c r="R14" i="2"/>
  <c r="R15" i="2" s="1"/>
  <c r="R95" i="5"/>
  <c r="R96" i="5" s="1"/>
  <c r="S110" i="5"/>
  <c r="R114" i="5"/>
  <c r="S114" i="5"/>
  <c r="S113" i="5"/>
  <c r="R113" i="5"/>
  <c r="S115" i="5" l="1"/>
  <c r="S53" i="5"/>
  <c r="S32" i="7"/>
  <c r="S94" i="2"/>
  <c r="S96" i="2" s="1"/>
  <c r="Q73" i="3"/>
  <c r="P102" i="6"/>
  <c r="P101" i="6"/>
  <c r="Q15" i="5"/>
  <c r="S96" i="5"/>
  <c r="Q15" i="6"/>
  <c r="S31" i="6"/>
  <c r="S32" i="6" s="1"/>
  <c r="S30" i="6"/>
  <c r="Q53" i="2"/>
  <c r="P21" i="3"/>
  <c r="P20" i="3"/>
  <c r="S96" i="6"/>
  <c r="S72" i="3"/>
  <c r="S71" i="3"/>
  <c r="S13" i="2"/>
  <c r="S14" i="2"/>
  <c r="S51" i="6"/>
  <c r="S53" i="6" s="1"/>
  <c r="S32" i="5"/>
  <c r="S52" i="2"/>
  <c r="S51" i="2"/>
  <c r="S51" i="3"/>
  <c r="S53" i="3" s="1"/>
  <c r="S73" i="5"/>
  <c r="S115" i="6"/>
  <c r="P121" i="2"/>
  <c r="P120" i="2"/>
  <c r="P21" i="2"/>
  <c r="P20" i="2"/>
  <c r="P78" i="3"/>
  <c r="P79" i="3"/>
  <c r="Q32" i="4"/>
  <c r="S53" i="7"/>
  <c r="P59" i="2"/>
  <c r="P58" i="2"/>
  <c r="S115" i="7"/>
  <c r="S114" i="3"/>
  <c r="S113" i="3"/>
  <c r="S15" i="5"/>
  <c r="P59" i="3"/>
  <c r="P58" i="3"/>
  <c r="S31" i="3"/>
  <c r="S32" i="3" s="1"/>
  <c r="P38" i="6"/>
  <c r="P37" i="6"/>
  <c r="S72" i="2"/>
  <c r="S71" i="2"/>
  <c r="P78" i="6"/>
  <c r="P79" i="6"/>
  <c r="R115" i="5"/>
  <c r="S14" i="6"/>
  <c r="S15" i="6" s="1"/>
  <c r="S13" i="6"/>
  <c r="S75" i="4"/>
  <c r="S76" i="4" s="1"/>
  <c r="S74" i="4"/>
  <c r="Q32" i="6"/>
  <c r="S96" i="7"/>
  <c r="S72" i="6"/>
  <c r="S71" i="6"/>
  <c r="P101" i="3"/>
  <c r="P102" i="3"/>
  <c r="S73" i="6" l="1"/>
  <c r="S15" i="2"/>
  <c r="S73" i="3"/>
  <c r="S73" i="2"/>
  <c r="S115" i="3"/>
  <c r="S53" i="2"/>
</calcChain>
</file>

<file path=xl/sharedStrings.xml><?xml version="1.0" encoding="utf-8"?>
<sst xmlns="http://schemas.openxmlformats.org/spreadsheetml/2006/main" count="2981" uniqueCount="194">
  <si>
    <t>Participant ID</t>
  </si>
  <si>
    <t>Initials</t>
  </si>
  <si>
    <t>Sex</t>
  </si>
  <si>
    <t>Age</t>
  </si>
  <si>
    <t>Scan</t>
  </si>
  <si>
    <t>Quality</t>
  </si>
  <si>
    <t>DP-02DG</t>
  </si>
  <si>
    <t>M</t>
  </si>
  <si>
    <t>DP-03JR</t>
  </si>
  <si>
    <t>DP-04RH</t>
  </si>
  <si>
    <t>DP-05TA</t>
  </si>
  <si>
    <t>DP-06JF</t>
  </si>
  <si>
    <t>F</t>
  </si>
  <si>
    <t>DP-07AC</t>
  </si>
  <si>
    <t>DP-10JP</t>
  </si>
  <si>
    <t>DP-11DC</t>
  </si>
  <si>
    <t>DP-12SR</t>
  </si>
  <si>
    <t>DP-13DH</t>
  </si>
  <si>
    <t>DP-14AT</t>
  </si>
  <si>
    <t>DP15NL</t>
  </si>
  <si>
    <t>hp-53RM</t>
  </si>
  <si>
    <t>HP-03MB</t>
  </si>
  <si>
    <t>HP-04GU</t>
  </si>
  <si>
    <t>HP-05IT</t>
  </si>
  <si>
    <t>HP-06MF</t>
  </si>
  <si>
    <t>HP-07VM</t>
  </si>
  <si>
    <t>HP-08AF</t>
  </si>
  <si>
    <t>HP-09PM</t>
  </si>
  <si>
    <t>HP-10ES</t>
  </si>
  <si>
    <t>HP-11AG</t>
  </si>
  <si>
    <t>AR</t>
  </si>
  <si>
    <t>JA</t>
  </si>
  <si>
    <t>HP-35LM</t>
  </si>
  <si>
    <t>CA</t>
  </si>
  <si>
    <t>SS</t>
  </si>
  <si>
    <t>TL</t>
  </si>
  <si>
    <t>HP-18GW</t>
  </si>
  <si>
    <t>HP-19PC</t>
  </si>
  <si>
    <t>HP-20CH</t>
  </si>
  <si>
    <t>HP-21LT</t>
  </si>
  <si>
    <t>HP-22DMS</t>
  </si>
  <si>
    <t>HP-23DDS</t>
  </si>
  <si>
    <t>HP-24AKD</t>
  </si>
  <si>
    <t>HP-26NB</t>
  </si>
  <si>
    <t>HP-27BB</t>
  </si>
  <si>
    <t>HP-28JJ</t>
  </si>
  <si>
    <t>HP-29WL</t>
  </si>
  <si>
    <t>HP-30RL</t>
  </si>
  <si>
    <t>HP-31VRB</t>
  </si>
  <si>
    <t>HP-32VF</t>
  </si>
  <si>
    <t>HP-34GM</t>
  </si>
  <si>
    <t>HP-36DB</t>
  </si>
  <si>
    <t>HP-37LB</t>
  </si>
  <si>
    <t>HP-38HR</t>
  </si>
  <si>
    <t>HP-39HB</t>
  </si>
  <si>
    <t>HP-40HL</t>
  </si>
  <si>
    <t>HP-41DR</t>
  </si>
  <si>
    <t>LC</t>
  </si>
  <si>
    <t>JE</t>
  </si>
  <si>
    <t>HP-44PD</t>
  </si>
  <si>
    <t>HP-45AD</t>
  </si>
  <si>
    <t>HP-46JG</t>
  </si>
  <si>
    <t>HP-47MJ</t>
  </si>
  <si>
    <t>HP-48PM</t>
  </si>
  <si>
    <t>HP-49MB</t>
  </si>
  <si>
    <t>HP-51JK</t>
  </si>
  <si>
    <t>HP-52CSM</t>
  </si>
  <si>
    <t>HP-53RM</t>
  </si>
  <si>
    <t>HP-54TC</t>
  </si>
  <si>
    <t>HP-55CS</t>
  </si>
  <si>
    <t>HP-56MO</t>
  </si>
  <si>
    <t>HP-57TJ</t>
  </si>
  <si>
    <t>MP</t>
  </si>
  <si>
    <t>HP-60PW</t>
  </si>
  <si>
    <t>SESSION 1</t>
  </si>
  <si>
    <t>Coefficient of repeatibility analysis from the baseline scans</t>
  </si>
  <si>
    <t>SESSION 2</t>
  </si>
  <si>
    <t>SESSION 3</t>
  </si>
  <si>
    <t>SESSION 4</t>
  </si>
  <si>
    <t>Baseline</t>
  </si>
  <si>
    <t>Ischemia</t>
  </si>
  <si>
    <t>PORH</t>
  </si>
  <si>
    <t>Median value of 5 measures</t>
  </si>
  <si>
    <t>PORH MAX</t>
  </si>
  <si>
    <t xml:space="preserve">Absolute diff between PORH and Median </t>
  </si>
  <si>
    <t>Age group</t>
  </si>
  <si>
    <t>Health/disease</t>
  </si>
  <si>
    <t>Scan 1</t>
  </si>
  <si>
    <t>Scan 2</t>
  </si>
  <si>
    <t>Scan 3</t>
  </si>
  <si>
    <t>Scan 4</t>
  </si>
  <si>
    <t>Scan 5</t>
  </si>
  <si>
    <t>Scan 6</t>
  </si>
  <si>
    <t>Scan 7</t>
  </si>
  <si>
    <t>Scan 8</t>
  </si>
  <si>
    <t>Scan 9</t>
  </si>
  <si>
    <t>Scan 10</t>
  </si>
  <si>
    <t>Scan 11</t>
  </si>
  <si>
    <t>Scan 12</t>
  </si>
  <si>
    <t>Variance of (SD)</t>
  </si>
  <si>
    <t>Healthy</t>
  </si>
  <si>
    <t>HP-03</t>
  </si>
  <si>
    <t>HP-05</t>
  </si>
  <si>
    <t>HP-06</t>
  </si>
  <si>
    <t>HP-07</t>
  </si>
  <si>
    <t>HP-09</t>
  </si>
  <si>
    <t>HP-10</t>
  </si>
  <si>
    <t>HP-11</t>
  </si>
  <si>
    <t>HP-18</t>
  </si>
  <si>
    <t>HP-24</t>
  </si>
  <si>
    <t>Mean of median</t>
  </si>
  <si>
    <t>SD</t>
  </si>
  <si>
    <t>COV</t>
  </si>
  <si>
    <t>Number of scans per subject</t>
  </si>
  <si>
    <t>&lt;-insert correct numbers before the analysis</t>
  </si>
  <si>
    <t>Number of subjects</t>
  </si>
  <si>
    <t>Within SD</t>
  </si>
  <si>
    <t>CR</t>
  </si>
  <si>
    <t>CI_A</t>
  </si>
  <si>
    <t>CI_B</t>
  </si>
  <si>
    <t>30-39</t>
  </si>
  <si>
    <t>HP-04</t>
  </si>
  <si>
    <t>HP-08</t>
  </si>
  <si>
    <t>HP-19</t>
  </si>
  <si>
    <t>HP-21</t>
  </si>
  <si>
    <t>HP-22</t>
  </si>
  <si>
    <t>HP-30</t>
  </si>
  <si>
    <t>HP-38</t>
  </si>
  <si>
    <t>40-49</t>
  </si>
  <si>
    <t>HP-12</t>
  </si>
  <si>
    <t>HP-15</t>
  </si>
  <si>
    <t>HP-20</t>
  </si>
  <si>
    <t>HP-29</t>
  </si>
  <si>
    <t>HP-32</t>
  </si>
  <si>
    <t>HP-35</t>
  </si>
  <si>
    <t>HP-41</t>
  </si>
  <si>
    <t>HP-44</t>
  </si>
  <si>
    <t>HP-45</t>
  </si>
  <si>
    <t>HP-49</t>
  </si>
  <si>
    <t>HP-56</t>
  </si>
  <si>
    <t>50-59</t>
  </si>
  <si>
    <t>HP-13</t>
  </si>
  <si>
    <t>HP-14</t>
  </si>
  <si>
    <t>HP-16</t>
  </si>
  <si>
    <t>HP-26</t>
  </si>
  <si>
    <t>HP-28</t>
  </si>
  <si>
    <t>HP-31</t>
  </si>
  <si>
    <t>HP-36</t>
  </si>
  <si>
    <t>HP-37</t>
  </si>
  <si>
    <t>HP-39</t>
  </si>
  <si>
    <t>HP-40</t>
  </si>
  <si>
    <t>60-74</t>
  </si>
  <si>
    <t>HP-17</t>
  </si>
  <si>
    <t>HP-27</t>
  </si>
  <si>
    <t>HP-34</t>
  </si>
  <si>
    <t>HP-46</t>
  </si>
  <si>
    <t>HP-53</t>
  </si>
  <si>
    <t>HP-54</t>
  </si>
  <si>
    <t>HP-55</t>
  </si>
  <si>
    <t>HP-57</t>
  </si>
  <si>
    <t>HP-23</t>
  </si>
  <si>
    <t>HP-47</t>
  </si>
  <si>
    <t>HP-51</t>
  </si>
  <si>
    <t>HP-60</t>
  </si>
  <si>
    <t>HP-48</t>
  </si>
  <si>
    <t>40-69</t>
  </si>
  <si>
    <t>Diabetic</t>
  </si>
  <si>
    <t>DP-04</t>
  </si>
  <si>
    <t>DP-05</t>
  </si>
  <si>
    <t>DP-06</t>
  </si>
  <si>
    <t>DP-10</t>
  </si>
  <si>
    <t>DP-12</t>
  </si>
  <si>
    <t>DP-13</t>
  </si>
  <si>
    <t>DP-15</t>
  </si>
  <si>
    <t>DP-02</t>
  </si>
  <si>
    <t>DP-03</t>
  </si>
  <si>
    <t>DP-07</t>
  </si>
  <si>
    <t>DP-11</t>
  </si>
  <si>
    <t>DP-14</t>
  </si>
  <si>
    <t>MAX PORH</t>
  </si>
  <si>
    <t>`</t>
  </si>
  <si>
    <t>RCC parameter</t>
  </si>
  <si>
    <t>20-29</t>
  </si>
  <si>
    <t>HP-52</t>
  </si>
  <si>
    <t>Diabetic 60+</t>
  </si>
  <si>
    <t>VAD%</t>
  </si>
  <si>
    <t>VLD</t>
  </si>
  <si>
    <t>BD</t>
  </si>
  <si>
    <t>Mean D</t>
  </si>
  <si>
    <t>Diabetic 40</t>
  </si>
  <si>
    <t>Diabetic 47</t>
  </si>
  <si>
    <t>Diabetic 57</t>
  </si>
  <si>
    <t>Diabetic 58</t>
  </si>
  <si>
    <t>Blå er age-matched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</si>
</sst>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2" tint="-9.9978637043366805E-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3" borderId="0" xfId="0" applyFont="1" applyFill="1" applyAlignment="1">
      <alignment wrapText="1"/>
    </xf>
    <xf numFmtId="0" fontId="3" fillId="3" borderId="0" xfId="0" applyFont="1" applyFill="1" applyAlignment="1">
      <alignment vertical="center"/>
    </xf>
    <xf numFmtId="0" fontId="1" fillId="2" borderId="0" xfId="0" applyFont="1" applyFill="1" applyAlignment="1">
      <alignment horizontal="right"/>
    </xf>
    <xf numFmtId="0" fontId="0" fillId="2" borderId="0" xfId="0" applyFill="1"/>
    <xf numFmtId="0" fontId="5" fillId="2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1" fillId="8" borderId="0" xfId="0" applyFont="1" applyFill="1" applyAlignment="1">
      <alignment horizontal="center"/>
    </xf>
    <xf numFmtId="2" fontId="0" fillId="8" borderId="0" xfId="0" applyNumberForma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2" fontId="1" fillId="9" borderId="0" xfId="0" applyNumberFormat="1" applyFont="1" applyFill="1" applyAlignment="1">
      <alignment horizontal="center"/>
    </xf>
    <xf numFmtId="0" fontId="1" fillId="9" borderId="0" xfId="0" applyFont="1" applyFill="1" applyAlignment="1">
      <alignment horizontal="center"/>
    </xf>
    <xf numFmtId="2" fontId="1" fillId="6" borderId="0" xfId="0" applyNumberFormat="1" applyFont="1" applyFill="1" applyAlignment="1">
      <alignment horizontal="center"/>
    </xf>
    <xf numFmtId="2" fontId="1" fillId="9" borderId="0" xfId="0" applyNumberFormat="1" applyFont="1" applyFill="1" applyAlignment="1">
      <alignment horizontal="center" vertical="top"/>
    </xf>
    <xf numFmtId="2" fontId="1" fillId="8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10" borderId="0" xfId="0" applyFill="1"/>
    <xf numFmtId="0" fontId="1" fillId="10" borderId="0" xfId="0" applyFont="1" applyFill="1" applyAlignment="1">
      <alignment horizontal="center"/>
    </xf>
    <xf numFmtId="2" fontId="0" fillId="10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/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/>
    </xf>
    <xf numFmtId="2" fontId="0" fillId="11" borderId="0" xfId="0" applyNumberFormat="1" applyFill="1" applyAlignment="1">
      <alignment horizontal="center"/>
    </xf>
    <xf numFmtId="0" fontId="4" fillId="0" borderId="7" xfId="0" applyFont="1" applyBorder="1"/>
    <xf numFmtId="0" fontId="4" fillId="0" borderId="0" xfId="0" applyFont="1"/>
    <xf numFmtId="0" fontId="0" fillId="0" borderId="8" xfId="0" applyBorder="1"/>
    <xf numFmtId="2" fontId="1" fillId="11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4" fillId="0" borderId="5" xfId="0" applyFont="1" applyBorder="1"/>
    <xf numFmtId="0" fontId="9" fillId="12" borderId="0" xfId="0" applyFont="1" applyFill="1"/>
    <xf numFmtId="0" fontId="1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1" fillId="12" borderId="0" xfId="0" applyFont="1" applyFill="1" applyAlignment="1">
      <alignment horizontal="center"/>
    </xf>
    <xf numFmtId="2" fontId="0" fillId="12" borderId="0" xfId="0" applyNumberFormat="1" applyFill="1" applyAlignment="1">
      <alignment horizontal="center"/>
    </xf>
    <xf numFmtId="2" fontId="0" fillId="0" borderId="0" xfId="0" applyNumberFormat="1"/>
    <xf numFmtId="165" fontId="0" fillId="0" borderId="0" xfId="0" applyNumberFormat="1"/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 wrapText="1"/>
    </xf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VAD%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B40-467C-9981-1CD98FFBAA9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40-467C-9981-1CD98FFBAA9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B40-467C-9981-1CD98FFBAA9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40-467C-9981-1CD98FFBAA9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B40-467C-9981-1CD98FFBAA9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B40-467C-9981-1CD98FFBAA95}"/>
              </c:ext>
            </c:extLst>
          </c:dPt>
          <c:cat>
            <c:strRef>
              <c:f>Sheet1!$A$2:$A$12</c:f>
              <c:strCache>
                <c:ptCount val="11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Diabetic 40</c:v>
                </c:pt>
                <c:pt idx="4">
                  <c:v>Diabetic 47</c:v>
                </c:pt>
                <c:pt idx="5">
                  <c:v>Diabetic 47</c:v>
                </c:pt>
                <c:pt idx="6">
                  <c:v>50-59</c:v>
                </c:pt>
                <c:pt idx="7">
                  <c:v>Diabetic 57</c:v>
                </c:pt>
                <c:pt idx="8">
                  <c:v>Diabetic 58</c:v>
                </c:pt>
                <c:pt idx="9">
                  <c:v>60-74</c:v>
                </c:pt>
                <c:pt idx="10">
                  <c:v>Diabetic 60+</c:v>
                </c:pt>
              </c:strCache>
            </c:strRef>
          </c:cat>
          <c:val>
            <c:numRef>
              <c:f>Sheet1!$B$2:$B$12</c:f>
              <c:numCache>
                <c:formatCode>0.00</c:formatCode>
                <c:ptCount val="11"/>
                <c:pt idx="0">
                  <c:v>35.555555555555557</c:v>
                </c:pt>
                <c:pt idx="1">
                  <c:v>34.285714285714285</c:v>
                </c:pt>
                <c:pt idx="2">
                  <c:v>34.272727272727273</c:v>
                </c:pt>
                <c:pt idx="3">
                  <c:v>22</c:v>
                </c:pt>
                <c:pt idx="4">
                  <c:v>33</c:v>
                </c:pt>
                <c:pt idx="5">
                  <c:v>30</c:v>
                </c:pt>
                <c:pt idx="6">
                  <c:v>33.35</c:v>
                </c:pt>
                <c:pt idx="7">
                  <c:v>31</c:v>
                </c:pt>
                <c:pt idx="8">
                  <c:v>26</c:v>
                </c:pt>
                <c:pt idx="9">
                  <c:v>38</c:v>
                </c:pt>
                <c:pt idx="10">
                  <c:v>24.714285714285715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0-467C-9981-1CD98FFBA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2135496"/>
        <c:axId val="942133528"/>
      </c:barChart>
      <c:catAx>
        <c:axId val="942135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  <a:r>
                  <a:rPr lang="en-GB" baseline="0"/>
                  <a:t> group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42133528"/>
        <c:crosses val="autoZero"/>
        <c:auto val="1"/>
        <c:lblAlgn val="ctr"/>
        <c:lblOffset val="100"/>
        <c:noMultiLvlLbl val="0"/>
      </c:catAx>
      <c:valAx>
        <c:axId val="942133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VAD%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42135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VLD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013-47C6-A057-0C89E9936E5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13-47C6-A057-0C89E9936E5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013-47C6-A057-0C89E9936E5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013-47C6-A057-0C89E9936E5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013-47C6-A057-0C89E9936E5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013-47C6-A057-0C89E9936E54}"/>
              </c:ext>
            </c:extLst>
          </c:dPt>
          <c:cat>
            <c:strRef>
              <c:f>Sheet1!$C$2:$C$12</c:f>
              <c:strCache>
                <c:ptCount val="11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Diabetic 40</c:v>
                </c:pt>
                <c:pt idx="4">
                  <c:v>Diabetic 47</c:v>
                </c:pt>
                <c:pt idx="5">
                  <c:v>Diabetic 47</c:v>
                </c:pt>
                <c:pt idx="6">
                  <c:v>50-59</c:v>
                </c:pt>
                <c:pt idx="7">
                  <c:v>Diabetic 57</c:v>
                </c:pt>
                <c:pt idx="8">
                  <c:v>Diabetic 58</c:v>
                </c:pt>
                <c:pt idx="9">
                  <c:v>60-74</c:v>
                </c:pt>
                <c:pt idx="10">
                  <c:v>Diabetic 60+</c:v>
                </c:pt>
              </c:strCache>
            </c:strRef>
          </c:cat>
          <c:val>
            <c:numRef>
              <c:f>Sheet1!$D$2:$D$12</c:f>
              <c:numCache>
                <c:formatCode>General</c:formatCode>
                <c:ptCount val="11"/>
                <c:pt idx="0">
                  <c:v>2.14</c:v>
                </c:pt>
                <c:pt idx="1">
                  <c:v>1.99</c:v>
                </c:pt>
                <c:pt idx="2">
                  <c:v>2.02</c:v>
                </c:pt>
                <c:pt idx="3">
                  <c:v>1.33</c:v>
                </c:pt>
                <c:pt idx="4">
                  <c:v>2.1800000000000002</c:v>
                </c:pt>
                <c:pt idx="5">
                  <c:v>1.89</c:v>
                </c:pt>
                <c:pt idx="6">
                  <c:v>2.0299999999999998</c:v>
                </c:pt>
                <c:pt idx="7">
                  <c:v>1.9</c:v>
                </c:pt>
                <c:pt idx="8">
                  <c:v>1.58</c:v>
                </c:pt>
                <c:pt idx="9">
                  <c:v>2.23</c:v>
                </c:pt>
                <c:pt idx="10">
                  <c:v>1.46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3-47C6-A057-0C89E9936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4"/>
        <c:overlap val="-27"/>
        <c:axId val="986423248"/>
        <c:axId val="895590456"/>
      </c:barChart>
      <c:catAx>
        <c:axId val="986423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895590456"/>
        <c:crosses val="autoZero"/>
        <c:auto val="1"/>
        <c:lblAlgn val="ctr"/>
        <c:lblOffset val="100"/>
        <c:noMultiLvlLbl val="0"/>
      </c:catAx>
      <c:valAx>
        <c:axId val="895590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8642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Branchpoint 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BD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F1-466D-BFFE-F85A7F6CC0F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F1-466D-BFFE-F85A7F6CC0F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F1-466D-BFFE-F85A7F6CC0F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F1-466D-BFFE-F85A7F6CC0F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F1-466D-BFFE-F85A7F6CC0F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BF1-466D-BFFE-F85A7F6CC0F8}"/>
              </c:ext>
            </c:extLst>
          </c:dPt>
          <c:cat>
            <c:strRef>
              <c:f>Sheet1!$E$2:$E$12</c:f>
              <c:strCache>
                <c:ptCount val="11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Diabetic 40</c:v>
                </c:pt>
                <c:pt idx="4">
                  <c:v>Diabetic 47</c:v>
                </c:pt>
                <c:pt idx="5">
                  <c:v>Diabetic 47</c:v>
                </c:pt>
                <c:pt idx="6">
                  <c:v>50-59</c:v>
                </c:pt>
                <c:pt idx="7">
                  <c:v>Diabetic 57</c:v>
                </c:pt>
                <c:pt idx="8">
                  <c:v>Diabetic 58</c:v>
                </c:pt>
                <c:pt idx="9">
                  <c:v>60-74</c:v>
                </c:pt>
                <c:pt idx="10">
                  <c:v>Diabetic 60+</c:v>
                </c:pt>
              </c:strCache>
            </c:strRef>
          </c:cat>
          <c:val>
            <c:numRef>
              <c:f>Sheet1!$F$2:$F$12</c:f>
              <c:numCache>
                <c:formatCode>General</c:formatCode>
                <c:ptCount val="11"/>
                <c:pt idx="0">
                  <c:v>2.12</c:v>
                </c:pt>
                <c:pt idx="1">
                  <c:v>2.58</c:v>
                </c:pt>
                <c:pt idx="2">
                  <c:v>2.2799999999999998</c:v>
                </c:pt>
                <c:pt idx="3">
                  <c:v>1.44</c:v>
                </c:pt>
                <c:pt idx="4">
                  <c:v>2.37</c:v>
                </c:pt>
                <c:pt idx="5">
                  <c:v>2.16</c:v>
                </c:pt>
                <c:pt idx="6">
                  <c:v>2.38</c:v>
                </c:pt>
                <c:pt idx="7">
                  <c:v>2.5299999999999998</c:v>
                </c:pt>
                <c:pt idx="8">
                  <c:v>2.21</c:v>
                </c:pt>
                <c:pt idx="9">
                  <c:v>2.56</c:v>
                </c:pt>
                <c:pt idx="10">
                  <c:v>2.0299999999999998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F1-466D-BFFE-F85A7F6CC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092664"/>
        <c:axId val="937092008"/>
      </c:barChart>
      <c:catAx>
        <c:axId val="937092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 group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37092008"/>
        <c:crosses val="autoZero"/>
        <c:auto val="1"/>
        <c:lblAlgn val="ctr"/>
        <c:lblOffset val="100"/>
        <c:noMultiLvlLbl val="0"/>
      </c:catAx>
      <c:valAx>
        <c:axId val="937092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937092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  <cx:data id="1">
      <cx:numDim type="val">
        <cx:f>_xlchart.v1.19</cx:f>
      </cx:numDim>
    </cx:data>
    <cx:data id="2">
      <cx:numDim type="val">
        <cx:f>_xlchart.v1.20</cx:f>
      </cx:numDim>
    </cx:data>
    <cx:data id="3">
      <cx:numDim type="val">
        <cx:f>_xlchart.v1.21</cx:f>
      </cx:numDim>
    </cx:data>
    <cx:data id="4">
      <cx:numDim type="val">
        <cx:f>_xlchart.v1.22</cx:f>
      </cx:numDim>
    </cx:data>
    <cx:data id="5">
      <cx:numDim type="val">
        <cx:f>_xlchart.v1.23</cx:f>
      </cx:numDim>
    </cx:data>
  </cx:chartData>
  <cx:chart>
    <cx:title pos="t" align="ctr" overlay="0">
      <cx:tx>
        <cx:txData>
          <cx:v>VAD%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VAD%</a:t>
          </a:r>
        </a:p>
      </cx:txPr>
    </cx:title>
    <cx:plotArea>
      <cx:plotAreaRegion>
        <cx:series layoutId="boxWhisker" uniqueId="{33A42ED8-3AE0-4ED2-8359-C73AACF81D6B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F39CE0E-28D6-4691-944A-AE3D6CA434C1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8155A068-3870-4ABC-B57A-FFF45FC49E57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E1BFC2B-C4D2-49F7-94BD-3B151BE44890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A09F91A-68F1-4CED-9FEA-1C1F5AC4B04D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4AB005C6-883A-4190-A90E-B0FE62495CF8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  <cx:data id="1">
      <cx:numDim type="val">
        <cx:f>_xlchart.v1.25</cx:f>
      </cx:numDim>
    </cx:data>
    <cx:data id="2">
      <cx:numDim type="val">
        <cx:f>_xlchart.v1.26</cx:f>
      </cx:numDim>
    </cx:data>
    <cx:data id="3">
      <cx:numDim type="val">
        <cx:f>_xlchart.v1.27</cx:f>
      </cx:numDim>
    </cx:data>
    <cx:data id="4">
      <cx:numDim type="val">
        <cx:f>_xlchart.v1.28</cx:f>
      </cx:numDim>
    </cx:data>
    <cx:data id="5">
      <cx:numDim type="val">
        <cx:f>_xlchart.v1.29</cx:f>
      </cx:numDim>
    </cx:data>
  </cx:chartData>
  <cx:chart>
    <cx:title pos="t" align="ctr" overlay="0">
      <cx:tx>
        <cx:txData>
          <cx:v>VLD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VLD</a:t>
          </a:r>
        </a:p>
      </cx:txPr>
    </cx:title>
    <cx:plotArea>
      <cx:plotAreaRegion>
        <cx:series layoutId="boxWhisker" uniqueId="{25C9E6FD-8A9C-45C5-A9DD-2A9DB46B7360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2D56320-02F1-4CA4-9CC4-90587233DB9D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CE95B07A-39DE-4067-A815-724DEBDC5CF2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3FF53C3-50CE-4725-AE38-9BE9E0617189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24FA3342-A3B1-41A6-A110-AEA34063EC7C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6858058C-05B6-43BD-B019-FB7340963F63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_xlchart.v1.30</cx:f>
      </cx:numDim>
    </cx:data>
    <cx:data id="1">
      <cx:numDim type="val">
        <cx:f>_xlchart.v1.31</cx:f>
      </cx:numDim>
    </cx:data>
    <cx:data id="2">
      <cx:numDim type="val">
        <cx:f>_xlchart.v1.32</cx:f>
      </cx:numDim>
    </cx:data>
    <cx:data id="3">
      <cx:numDim type="val">
        <cx:f>_xlchart.v1.33</cx:f>
      </cx:numDim>
    </cx:data>
    <cx:data id="4">
      <cx:numDim type="val">
        <cx:f>_xlchart.v1.34</cx:f>
      </cx:numDim>
    </cx:data>
    <cx:data id="5">
      <cx:numDim type="val">
        <cx:f>_xlchart.v1.35</cx:f>
      </cx:numDim>
    </cx:data>
  </cx:chartData>
  <cx:chart>
    <cx:title pos="t" align="ctr" overlay="0">
      <cx:tx>
        <cx:txData>
          <cx:v>BD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BD</a:t>
          </a:r>
        </a:p>
      </cx:txPr>
    </cx:title>
    <cx:plotArea>
      <cx:plotAreaRegion>
        <cx:series layoutId="boxWhisker" uniqueId="{0EE2E184-F204-46DC-95AD-82C014C70AB2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9F3B06A-A9B9-4B6A-8C3D-FA5149BA4136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549FBEAE-11BC-46E2-94C6-93955ECCC41B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B5DF79CC-AA03-4E71-BF33-2C8A62F763DD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271BBBA0-A15B-4357-8029-61305651627E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B4AD2E30-5A59-4286-A6CE-731D6C1E2BFA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  <cx:data id="3">
      <cx:numDim type="val">
        <cx:f>_xlchart.v1.3</cx:f>
      </cx:numDim>
    </cx:data>
    <cx:data id="4">
      <cx:numDim type="val">
        <cx:f>_xlchart.v1.4</cx:f>
      </cx:numDim>
    </cx:data>
    <cx:data id="5">
      <cx:numDim type="val">
        <cx:f>_xlchart.v1.5</cx:f>
      </cx:numDim>
    </cx:data>
  </cx:chartData>
  <cx:chart>
    <cx:title pos="t" align="ctr" overlay="0">
      <cx:tx>
        <cx:txData>
          <cx:v>Mean Diameter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Mean Diameter</a:t>
          </a:r>
        </a:p>
      </cx:txPr>
    </cx:title>
    <cx:plotArea>
      <cx:plotAreaRegion>
        <cx:series layoutId="boxWhisker" uniqueId="{61CFAC34-BE6C-44E2-91F6-9FB3421FDAFF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C620B42-E1A8-46EC-9802-164C7F0B614D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9AC931D-F47B-440E-9946-F37890994F5A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DC2C4F8-FEE3-4657-8916-4A3E6D58740B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71759BF4-914B-4771-96AF-A626F232B2D1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F49C2C6A-C9BB-41FA-B1E1-10806C0D4F22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  <cx:data id="1">
      <cx:numDim type="val">
        <cx:f>_xlchart.v1.7</cx:f>
      </cx:numDim>
    </cx:data>
    <cx:data id="2">
      <cx:numDim type="val">
        <cx:f>_xlchart.v1.8</cx:f>
      </cx:numDim>
    </cx:data>
    <cx:data id="3">
      <cx:numDim type="val">
        <cx:f>_xlchart.v1.9</cx:f>
      </cx:numDim>
    </cx:data>
    <cx:data id="4">
      <cx:numDim type="val">
        <cx:f>_xlchart.v1.10</cx:f>
      </cx:numDim>
    </cx:data>
    <cx:data id="5">
      <cx:numDim type="val">
        <cx:f>_xlchart.v1.11</cx:f>
      </cx:numDim>
    </cx:data>
  </cx:chartData>
  <cx:chart>
    <cx:title pos="t" align="ctr" overlay="0">
      <cx:tx>
        <cx:txData>
          <cx:v>Median Diameter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Median Diameter</a:t>
          </a:r>
        </a:p>
      </cx:txPr>
    </cx:title>
    <cx:plotArea>
      <cx:plotAreaRegion>
        <cx:series layoutId="boxWhisker" uniqueId="{28C91BB4-7924-454E-8972-FD2C1D5CE214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9CE3B6F-780B-4C90-B833-EDD2EDCAFC1A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F524B21-1681-4D39-BBEB-C310BD1F3226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C12C49AA-F3C9-424D-989B-83F568DB802B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9C7D2FB-A9CB-4744-8A9F-11E75357F9C7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6889EADB-77D9-4085-952B-634E8AC770CF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_xlchart.v1.12</cx:f>
      </cx:numDim>
    </cx:data>
    <cx:data id="1">
      <cx:numDim type="val">
        <cx:f>_xlchart.v1.13</cx:f>
      </cx:numDim>
    </cx:data>
    <cx:data id="2">
      <cx:numDim type="val">
        <cx:f>_xlchart.v1.14</cx:f>
      </cx:numDim>
    </cx:data>
    <cx:data id="3">
      <cx:numDim type="val">
        <cx:f>_xlchart.v1.15</cx:f>
      </cx:numDim>
    </cx:data>
    <cx:data id="4">
      <cx:numDim type="val">
        <cx:f>_xlchart.v1.16</cx:f>
      </cx:numDim>
    </cx:data>
    <cx:data id="5">
      <cx:numDim type="val">
        <cx:f>_xlchart.v1.17</cx:f>
      </cx:numDim>
    </cx:data>
  </cx:chartData>
  <cx:chart>
    <cx:title pos="t" align="ctr" overlay="0">
      <cx:tx>
        <cx:txData>
          <cx:v>Fractal Dimension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Fractal Dimension</a:t>
          </a:r>
        </a:p>
      </cx:txPr>
    </cx:title>
    <cx:plotArea>
      <cx:plotAreaRegion>
        <cx:series layoutId="boxWhisker" uniqueId="{968660B3-9BA0-4D2C-AAC8-9D2146C25330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C7EDD83-F2A5-4617-90EE-DDB3B1429351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2290826-6701-4580-BEEF-6D43CE2725F5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53021DF7-E2FC-475B-ADEE-3C388D251F78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F46F8980-2A45-4D55-81AB-6672A2C53B9A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E915555-800C-4E20-8B77-96F21B0DA006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_xlchart.v1.42</cx:f>
      </cx:numDim>
    </cx:data>
    <cx:data id="1">
      <cx:numDim type="val">
        <cx:f>_xlchart.v1.43</cx:f>
      </cx:numDim>
    </cx:data>
    <cx:data id="2">
      <cx:numDim type="val">
        <cx:f>_xlchart.v1.44</cx:f>
      </cx:numDim>
    </cx:data>
    <cx:data id="3">
      <cx:numDim type="val">
        <cx:f>_xlchart.v1.45</cx:f>
      </cx:numDim>
    </cx:data>
    <cx:data id="4">
      <cx:numDim type="val">
        <cx:f>_xlchart.v1.46</cx:f>
      </cx:numDim>
    </cx:data>
    <cx:data id="5">
      <cx:numDim type="val">
        <cx:f>_xlchart.v1.47</cx:f>
      </cx:numDim>
    </cx:data>
  </cx:chartData>
  <cx:chart>
    <cx:title pos="t" align="ctr" overlay="0">
      <cx:tx>
        <cx:txData>
          <cx:v>VAD%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VAD%</a:t>
          </a:r>
        </a:p>
      </cx:txPr>
    </cx:title>
    <cx:plotArea>
      <cx:plotAreaRegion>
        <cx:series layoutId="boxWhisker" uniqueId="{ED74F3FB-7383-403F-B2F5-C962D1BD12E2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5394583-AC00-4685-ABB1-B792D7C33767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740F1B0-5FB3-47AC-B250-58119D580471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1EF9CAAE-72CA-4F20-BFF4-40A213D0BEE1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2993DE06-35FB-42C5-A4DB-4E03D0BCDDA6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2448BA8E-7CD0-41C9-919C-D451B14BD7B0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_xlchart.v1.48</cx:f>
      </cx:numDim>
    </cx:data>
    <cx:data id="1">
      <cx:numDim type="val">
        <cx:f>_xlchart.v1.49</cx:f>
      </cx:numDim>
    </cx:data>
    <cx:data id="2">
      <cx:numDim type="val">
        <cx:f>_xlchart.v1.50</cx:f>
      </cx:numDim>
    </cx:data>
    <cx:data id="3">
      <cx:numDim type="val">
        <cx:f>_xlchart.v1.51</cx:f>
      </cx:numDim>
    </cx:data>
    <cx:data id="4">
      <cx:numDim type="val">
        <cx:f>_xlchart.v1.52</cx:f>
      </cx:numDim>
    </cx:data>
    <cx:data id="5">
      <cx:numDim type="val">
        <cx:f>_xlchart.v1.53</cx:f>
      </cx:numDim>
    </cx:data>
  </cx:chartData>
  <cx:chart>
    <cx:title pos="t" align="ctr" overlay="0">
      <cx:tx>
        <cx:txData>
          <cx:v>VLD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VLD</a:t>
          </a:r>
        </a:p>
      </cx:txPr>
    </cx:title>
    <cx:plotArea>
      <cx:plotAreaRegion>
        <cx:series layoutId="boxWhisker" uniqueId="{1F979A38-B793-4352-BEFE-83D92CA4B203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6BD056E-964D-4F6E-9DBA-A6AE9634D189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CD50428-516B-4A37-A38E-8B2E149B5922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0BF71CD-C13B-4AA9-A77D-C7D2C2629138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F2A930CA-DF8F-4183-BE5A-A73B14F22D85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8131525-0F79-43F3-B49F-CC89EB161C99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_xlchart.v1.66</cx:f>
      </cx:numDim>
    </cx:data>
    <cx:data id="1">
      <cx:numDim type="val">
        <cx:f>_xlchart.v1.67</cx:f>
      </cx:numDim>
    </cx:data>
    <cx:data id="2">
      <cx:numDim type="val">
        <cx:f>_xlchart.v1.68</cx:f>
      </cx:numDim>
    </cx:data>
    <cx:data id="3">
      <cx:numDim type="val">
        <cx:f>_xlchart.v1.69</cx:f>
      </cx:numDim>
    </cx:data>
    <cx:data id="4">
      <cx:numDim type="val">
        <cx:f>_xlchart.v1.70</cx:f>
      </cx:numDim>
    </cx:data>
    <cx:data id="5">
      <cx:numDim type="val">
        <cx:f>_xlchart.v1.71</cx:f>
      </cx:numDim>
    </cx:data>
  </cx:chartData>
  <cx:chart>
    <cx:title pos="t" align="ctr" overlay="0">
      <cx:tx>
        <cx:txData>
          <cx:v>BD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BD</a:t>
          </a:r>
        </a:p>
      </cx:txPr>
    </cx:title>
    <cx:plotArea>
      <cx:plotAreaRegion>
        <cx:series layoutId="boxWhisker" uniqueId="{68C52DFD-88FD-4B9E-99BE-3122E12E462D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4099029-B9A5-4D61-B105-6ADB70E57595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8DBE51B4-80E8-402D-93B0-2C384780961A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E3D0089-52E1-4172-B8C4-3477BE46686C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485C5D6-4CC2-4D8E-9D34-45295C027026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F18CC3CB-6DC3-4A8A-A339-993A27F44895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_xlchart.v1.54</cx:f>
      </cx:numDim>
    </cx:data>
    <cx:data id="1">
      <cx:numDim type="val">
        <cx:f>_xlchart.v1.55</cx:f>
      </cx:numDim>
    </cx:data>
    <cx:data id="2">
      <cx:numDim type="val">
        <cx:f>_xlchart.v1.56</cx:f>
      </cx:numDim>
    </cx:data>
    <cx:data id="3">
      <cx:numDim type="val">
        <cx:f>_xlchart.v1.57</cx:f>
      </cx:numDim>
    </cx:data>
    <cx:data id="4">
      <cx:numDim type="val">
        <cx:f>_xlchart.v1.58</cx:f>
      </cx:numDim>
    </cx:data>
    <cx:data id="5">
      <cx:numDim type="val">
        <cx:f>_xlchart.v1.59</cx:f>
      </cx:numDim>
    </cx:data>
  </cx:chartData>
  <cx:chart>
    <cx:title pos="t" align="ctr" overlay="0">
      <cx:tx>
        <cx:txData>
          <cx:v>Mean diameter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Mean diameter</a:t>
          </a:r>
        </a:p>
      </cx:txPr>
    </cx:title>
    <cx:plotArea>
      <cx:plotAreaRegion>
        <cx:series layoutId="boxWhisker" uniqueId="{CE847E21-E010-4C6F-906D-989774722F41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BC7283D-E55F-4D7A-81E0-17748A172CD4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D19438D-5103-4C13-A1C7-68A1F03D6AAC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AC2917AE-A36A-4D30-8EF1-002AC6C1D896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F7A705C-4220-4F63-AC0B-9FCCF6743A6C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2468D0D5-5B12-43E2-A7EE-04C8A895A70C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_xlchart.v1.60</cx:f>
      </cx:numDim>
    </cx:data>
    <cx:data id="1">
      <cx:numDim type="val">
        <cx:f>_xlchart.v1.61</cx:f>
      </cx:numDim>
    </cx:data>
    <cx:data id="2">
      <cx:numDim type="val">
        <cx:f>_xlchart.v1.62</cx:f>
      </cx:numDim>
    </cx:data>
    <cx:data id="3">
      <cx:numDim type="val">
        <cx:f>_xlchart.v1.63</cx:f>
      </cx:numDim>
    </cx:data>
    <cx:data id="4">
      <cx:numDim type="val">
        <cx:f>_xlchart.v1.64</cx:f>
      </cx:numDim>
    </cx:data>
    <cx:data id="5">
      <cx:numDim type="val">
        <cx:f>_xlchart.v1.65</cx:f>
      </cx:numDim>
    </cx:data>
  </cx:chartData>
  <cx:chart>
    <cx:title pos="t" align="ctr" overlay="0">
      <cx:tx>
        <cx:txData>
          <cx:v>Median diameter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Median diameter</a:t>
          </a:r>
        </a:p>
      </cx:txPr>
    </cx:title>
    <cx:plotArea>
      <cx:plotAreaRegion>
        <cx:series layoutId="boxWhisker" uniqueId="{625F37B2-5F9F-487C-A301-2752469627C2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B36EE575-370A-4D70-853D-AA336AE36529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F09C21-D589-44F3-9C83-0A378CD25631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12129E4-2069-4082-BE2F-5883BBE71824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C21C83D2-57F3-43AB-A778-82601F3BD273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5A109440-102B-4D74-97E1-4FD11FF8AC49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_xlchart.v1.36</cx:f>
      </cx:numDim>
    </cx:data>
    <cx:data id="1">
      <cx:numDim type="val">
        <cx:f>_xlchart.v1.37</cx:f>
      </cx:numDim>
    </cx:data>
    <cx:data id="2">
      <cx:numDim type="val">
        <cx:f>_xlchart.v1.38</cx:f>
      </cx:numDim>
    </cx:data>
    <cx:data id="3">
      <cx:numDim type="val">
        <cx:f>_xlchart.v1.39</cx:f>
      </cx:numDim>
    </cx:data>
    <cx:data id="4">
      <cx:numDim type="val">
        <cx:f>_xlchart.v1.40</cx:f>
      </cx:numDim>
    </cx:data>
    <cx:data id="5">
      <cx:numDim type="val">
        <cx:f>_xlchart.v1.41</cx:f>
      </cx:numDim>
    </cx:data>
  </cx:chartData>
  <cx:chart>
    <cx:title pos="t" align="ctr" overlay="0">
      <cx:tx>
        <cx:txData>
          <cx:v>Fractal dimension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Fractal dimension</a:t>
          </a:r>
        </a:p>
      </cx:txPr>
    </cx:title>
    <cx:plotArea>
      <cx:plotAreaRegion>
        <cx:series layoutId="boxWhisker" uniqueId="{2B1D12E7-8997-4A63-B736-165610A1AA84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E0E291DE-86DE-4C96-A226-8092428D0E62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FCB01A46-FF76-4F1E-845C-4D2560E9ACC2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5F8C0A14-B301-4722-9D57-C21339075FCE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1068E98-5B89-4848-9D1D-CDA4BCD50F0A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F6ADC78E-B33D-492D-A230-FDD1919673BA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_xlchart.v1.90</cx:f>
      </cx:numDim>
    </cx:data>
    <cx:data id="1">
      <cx:numDim type="val">
        <cx:f>_xlchart.v1.91</cx:f>
      </cx:numDim>
    </cx:data>
    <cx:data id="2">
      <cx:numDim type="val">
        <cx:f>_xlchart.v1.92</cx:f>
      </cx:numDim>
    </cx:data>
    <cx:data id="3">
      <cx:numDim type="val">
        <cx:f>_xlchart.v1.93</cx:f>
      </cx:numDim>
    </cx:data>
    <cx:data id="4">
      <cx:numDim type="val">
        <cx:f>_xlchart.v1.94</cx:f>
      </cx:numDim>
    </cx:data>
    <cx:data id="5">
      <cx:numDim type="val">
        <cx:f>_xlchart.v1.95</cx:f>
      </cx:numDim>
    </cx:data>
  </cx:chartData>
  <cx:chart>
    <cx:title pos="t" align="ctr" overlay="0">
      <cx:tx>
        <cx:txData>
          <cx:v>VAD%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VAD%</a:t>
          </a:r>
        </a:p>
      </cx:txPr>
    </cx:title>
    <cx:plotArea>
      <cx:plotAreaRegion>
        <cx:series layoutId="boxWhisker" uniqueId="{D62417C4-786B-47F8-BE1E-D4E7AC815BA3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367D1F0B-A29A-44D6-BB9E-8934A2B18139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CDCCD9C-D76B-434A-A899-481F886BE75E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440F2E8-8558-4D3F-929D-57D733BCCF69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7800EF14-4646-43EF-85F9-875821739C3D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BD5777D4-DC40-4ABA-A499-27A591BFFFC8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_xlchart.v1.96</cx:f>
      </cx:numDim>
    </cx:data>
    <cx:data id="1">
      <cx:numDim type="val">
        <cx:f>_xlchart.v1.97</cx:f>
      </cx:numDim>
    </cx:data>
    <cx:data id="2">
      <cx:numDim type="val">
        <cx:f>_xlchart.v1.98</cx:f>
      </cx:numDim>
    </cx:data>
    <cx:data id="3">
      <cx:numDim type="val">
        <cx:f>_xlchart.v1.99</cx:f>
      </cx:numDim>
    </cx:data>
    <cx:data id="4">
      <cx:numDim type="val">
        <cx:f>_xlchart.v1.100</cx:f>
      </cx:numDim>
    </cx:data>
    <cx:data id="5">
      <cx:numDim type="val">
        <cx:f>_xlchart.v1.101</cx:f>
      </cx:numDim>
    </cx:data>
  </cx:chartData>
  <cx:chart>
    <cx:title pos="t" align="ctr" overlay="0">
      <cx:tx>
        <cx:txData>
          <cx:v>VLD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VLD</a:t>
          </a:r>
        </a:p>
      </cx:txPr>
    </cx:title>
    <cx:plotArea>
      <cx:plotAreaRegion>
        <cx:series layoutId="boxWhisker" uniqueId="{76BD8406-DF21-411F-965A-3A953AC96B82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0B4C009-639A-4D5A-AEA8-42986981A1F7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38E3802-F126-4BBE-91C1-3B20F4251B34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2550E3DF-654D-4E5E-9127-2643E940E8FD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82B54738-BB69-4B83-9608-F494644FA120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1969E176-E2A6-425D-8E31-5C08F80B045C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_xlchart.v1.102</cx:f>
      </cx:numDim>
    </cx:data>
    <cx:data id="1">
      <cx:numDim type="val">
        <cx:f>_xlchart.v1.103</cx:f>
      </cx:numDim>
    </cx:data>
    <cx:data id="2">
      <cx:numDim type="val">
        <cx:f>_xlchart.v1.104</cx:f>
      </cx:numDim>
    </cx:data>
    <cx:data id="3">
      <cx:numDim type="val">
        <cx:f>_xlchart.v1.105</cx:f>
      </cx:numDim>
    </cx:data>
    <cx:data id="4">
      <cx:numDim type="val">
        <cx:f>_xlchart.v1.106</cx:f>
      </cx:numDim>
    </cx:data>
    <cx:data id="5">
      <cx:numDim type="val">
        <cx:f>_xlchart.v1.107</cx:f>
      </cx:numDim>
    </cx:data>
  </cx:chartData>
  <cx:chart>
    <cx:title pos="t" align="ctr" overlay="0">
      <cx:tx>
        <cx:txData>
          <cx:v>BD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BD</a:t>
          </a:r>
        </a:p>
      </cx:txPr>
    </cx:title>
    <cx:plotArea>
      <cx:plotAreaRegion>
        <cx:series layoutId="boxWhisker" uniqueId="{61210EF9-D7A4-4E64-9D17-B625C5D79873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A19B591-778E-4FA7-97B0-08E8C5814311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921BAFEB-1496-43A8-AE1D-DEB34A702EFD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45291BBC-4D75-4A06-9A60-AC1D74CAE1AF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1665079-700F-4EC0-BD72-52C6AA9E577E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B8663432-2D7B-4C94-B86D-721F35798ED1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_xlchart.v1.84</cx:f>
      </cx:numDim>
    </cx:data>
    <cx:data id="1">
      <cx:numDim type="val">
        <cx:f>_xlchart.v1.85</cx:f>
      </cx:numDim>
    </cx:data>
    <cx:data id="2">
      <cx:numDim type="val">
        <cx:f>_xlchart.v1.86</cx:f>
      </cx:numDim>
    </cx:data>
    <cx:data id="3">
      <cx:numDim type="val">
        <cx:f>_xlchart.v1.87</cx:f>
      </cx:numDim>
    </cx:data>
    <cx:data id="4">
      <cx:numDim type="val">
        <cx:f>_xlchart.v1.88</cx:f>
      </cx:numDim>
    </cx:data>
    <cx:data id="5">
      <cx:numDim type="val">
        <cx:f>_xlchart.v1.89</cx:f>
      </cx:numDim>
    </cx:data>
  </cx:chartData>
  <cx:chart>
    <cx:title pos="t" align="ctr" overlay="0">
      <cx:tx>
        <cx:txData>
          <cx:v>Mean diameter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Mean diameter</a:t>
          </a:r>
        </a:p>
      </cx:txPr>
    </cx:title>
    <cx:plotArea>
      <cx:plotAreaRegion>
        <cx:series layoutId="boxWhisker" uniqueId="{3E0413AA-5E27-480A-86C3-192B50871483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D4E61BD-9656-4265-8B00-4D9D7040469B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44E8E30-6A0C-4556-89FE-8BAF840CBCFE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6240642-EFBC-488B-88F8-CB4893098561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F55A5E29-CB16-460A-9A21-4B012C1448DA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D6630654-CE12-49C9-9191-5D972A9E2677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_xlchart.v1.72</cx:f>
      </cx:numDim>
    </cx:data>
    <cx:data id="1">
      <cx:numDim type="val">
        <cx:f>_xlchart.v1.73</cx:f>
      </cx:numDim>
    </cx:data>
    <cx:data id="2">
      <cx:numDim type="val">
        <cx:f>_xlchart.v1.74</cx:f>
      </cx:numDim>
    </cx:data>
    <cx:data id="3">
      <cx:numDim type="val">
        <cx:f>_xlchart.v1.75</cx:f>
      </cx:numDim>
    </cx:data>
    <cx:data id="4">
      <cx:numDim type="val">
        <cx:f>_xlchart.v1.76</cx:f>
      </cx:numDim>
    </cx:data>
    <cx:data id="5">
      <cx:numDim type="val">
        <cx:f>_xlchart.v1.77</cx:f>
      </cx:numDim>
    </cx:data>
  </cx:chartData>
  <cx:chart>
    <cx:title pos="t" align="ctr" overlay="0">
      <cx:tx>
        <cx:txData>
          <cx:v>Median diameter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Median diameter</a:t>
          </a:r>
        </a:p>
      </cx:txPr>
    </cx:title>
    <cx:plotArea>
      <cx:plotAreaRegion>
        <cx:series layoutId="boxWhisker" uniqueId="{525FAF67-2987-4FA7-81DD-1FD9E50F3A4C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E13EBE2-52E7-40DC-8915-F8C8026279C0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270DD30-3AF1-415B-8850-7FD42A057ED3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42BCF108-AE0D-4525-B38C-A3E25B427D68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8D8A0D30-C716-4D9A-8922-7CF102CC7F0E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99426D0D-46A1-417D-ABBF-7DD0C9ABB121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hartEx1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_xlchart.v1.78</cx:f>
      </cx:numDim>
    </cx:data>
    <cx:data id="1">
      <cx:numDim type="val">
        <cx:f>_xlchart.v1.79</cx:f>
      </cx:numDim>
    </cx:data>
    <cx:data id="2">
      <cx:numDim type="val">
        <cx:f>_xlchart.v1.80</cx:f>
      </cx:numDim>
    </cx:data>
    <cx:data id="3">
      <cx:numDim type="val">
        <cx:f>_xlchart.v1.81</cx:f>
      </cx:numDim>
    </cx:data>
    <cx:data id="4">
      <cx:numDim type="val">
        <cx:f>_xlchart.v1.82</cx:f>
      </cx:numDim>
    </cx:data>
    <cx:data id="5">
      <cx:numDim type="val">
        <cx:f>_xlchart.v1.83</cx:f>
      </cx:numDim>
    </cx:data>
  </cx:chartData>
  <cx:chart>
    <cx:title pos="t" align="ctr" overlay="0">
      <cx:tx>
        <cx:txData>
          <cx:v>Fractal dimension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Fractal dimension</a:t>
          </a:r>
        </a:p>
      </cx:txPr>
    </cx:title>
    <cx:plotArea>
      <cx:plotAreaRegion>
        <cx:series layoutId="boxWhisker" uniqueId="{196E142F-470D-4362-A76B-B76A74612F5E}">
          <cx:tx>
            <cx:txData>
              <cx:f/>
              <cx:v>20-29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9BDC2F58-B8F7-4751-937C-EB39356749AF}">
          <cx:tx>
            <cx:txData>
              <cx:f/>
              <cx:v>30-39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5B70443-F19A-4970-A5B0-B02009F9C0E8}">
          <cx:tx>
            <cx:txData>
              <cx:f/>
              <cx:v>40-49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072E5B5-FA49-40D7-BE1E-DAF9ACAFF285}">
          <cx:tx>
            <cx:txData>
              <cx:f/>
              <cx:v>50-59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7FA52DE5-A143-46FB-9885-94666E5D2663}">
          <cx:tx>
            <cx:txData>
              <cx:f/>
              <cx:v>60-74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4F36598-DCF1-4F1A-A16B-19D7DA4090A0}">
          <cx:tx>
            <cx:txData>
              <cx:f/>
              <cx:v>Diabetic 60+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9.xml"/><Relationship Id="rId2" Type="http://schemas.microsoft.com/office/2014/relationships/chartEx" Target="../charts/chartEx8.xml"/><Relationship Id="rId1" Type="http://schemas.microsoft.com/office/2014/relationships/chartEx" Target="../charts/chartEx7.xml"/><Relationship Id="rId6" Type="http://schemas.microsoft.com/office/2014/relationships/chartEx" Target="../charts/chartEx12.xml"/><Relationship Id="rId5" Type="http://schemas.microsoft.com/office/2014/relationships/chartEx" Target="../charts/chartEx11.xml"/><Relationship Id="rId4" Type="http://schemas.microsoft.com/office/2014/relationships/chartEx" Target="../charts/chartEx10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15.xml"/><Relationship Id="rId2" Type="http://schemas.microsoft.com/office/2014/relationships/chartEx" Target="../charts/chartEx14.xml"/><Relationship Id="rId1" Type="http://schemas.microsoft.com/office/2014/relationships/chartEx" Target="../charts/chartEx13.xml"/><Relationship Id="rId6" Type="http://schemas.microsoft.com/office/2014/relationships/chartEx" Target="../charts/chartEx18.xml"/><Relationship Id="rId5" Type="http://schemas.microsoft.com/office/2014/relationships/chartEx" Target="../charts/chartEx17.xml"/><Relationship Id="rId4" Type="http://schemas.microsoft.com/office/2014/relationships/chartEx" Target="../charts/chartEx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441959</xdr:colOff>
      <xdr:row>21</xdr:row>
      <xdr:rowOff>80009</xdr:rowOff>
    </xdr:from>
    <xdr:to>
      <xdr:col>9</xdr:col>
      <xdr:colOff>407670</xdr:colOff>
      <xdr:row>38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550D223-EC51-42BE-B69D-EBEDF17CA3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1959" y="4337684"/>
              <a:ext cx="6261736" cy="33394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616267</xdr:colOff>
      <xdr:row>22</xdr:row>
      <xdr:rowOff>15240</xdr:rowOff>
    </xdr:from>
    <xdr:to>
      <xdr:col>17</xdr:col>
      <xdr:colOff>324802</xdr:colOff>
      <xdr:row>35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9C2A27F-621B-4960-AB30-4ED6308D9A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98092" y="4472940"/>
              <a:ext cx="4671060" cy="2747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197167</xdr:colOff>
      <xdr:row>21</xdr:row>
      <xdr:rowOff>177165</xdr:rowOff>
    </xdr:from>
    <xdr:to>
      <xdr:col>24</xdr:col>
      <xdr:colOff>601027</xdr:colOff>
      <xdr:row>35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58F7904-DC97-4E42-8C59-542D8AC529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27317" y="4434840"/>
              <a:ext cx="4661535" cy="2747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631507</xdr:colOff>
      <xdr:row>21</xdr:row>
      <xdr:rowOff>186690</xdr:rowOff>
    </xdr:from>
    <xdr:to>
      <xdr:col>32</xdr:col>
      <xdr:colOff>427672</xdr:colOff>
      <xdr:row>35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99AC521F-746B-458C-BAB5-D9260F47AC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205132" y="4444365"/>
              <a:ext cx="4682490" cy="2747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33</xdr:col>
      <xdr:colOff>307657</xdr:colOff>
      <xdr:row>22</xdr:row>
      <xdr:rowOff>24765</xdr:rowOff>
    </xdr:from>
    <xdr:to>
      <xdr:col>39</xdr:col>
      <xdr:colOff>884872</xdr:colOff>
      <xdr:row>35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C6815C06-132C-40A7-866F-FC2F637689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53407" y="4482465"/>
              <a:ext cx="4692015" cy="2747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40</xdr:col>
      <xdr:colOff>612457</xdr:colOff>
      <xdr:row>21</xdr:row>
      <xdr:rowOff>177165</xdr:rowOff>
    </xdr:from>
    <xdr:to>
      <xdr:col>47</xdr:col>
      <xdr:colOff>522922</xdr:colOff>
      <xdr:row>35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10EBC334-8ABB-4FAC-86ED-52F7DCBB7D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758832" y="4434840"/>
              <a:ext cx="4711065" cy="2747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111442</xdr:colOff>
      <xdr:row>18</xdr:row>
      <xdr:rowOff>49530</xdr:rowOff>
    </xdr:from>
    <xdr:to>
      <xdr:col>6</xdr:col>
      <xdr:colOff>521017</xdr:colOff>
      <xdr:row>31</xdr:row>
      <xdr:rowOff>186690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5F9824-052A-4853-B300-80A6EE5553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442" y="3649980"/>
              <a:ext cx="4667250" cy="2737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193357</xdr:colOff>
      <xdr:row>17</xdr:row>
      <xdr:rowOff>160020</xdr:rowOff>
    </xdr:from>
    <xdr:to>
      <xdr:col>15</xdr:col>
      <xdr:colOff>101917</xdr:colOff>
      <xdr:row>31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2659126-422C-412B-8336-4DD95B9CF6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2632" y="3560445"/>
              <a:ext cx="4709160" cy="27451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501967</xdr:colOff>
      <xdr:row>17</xdr:row>
      <xdr:rowOff>17145</xdr:rowOff>
    </xdr:from>
    <xdr:to>
      <xdr:col>24</xdr:col>
      <xdr:colOff>221932</xdr:colOff>
      <xdr:row>30</xdr:row>
      <xdr:rowOff>158115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02E6EE7-0A9B-4618-9EE0-A3D520A54D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03442" y="3417570"/>
              <a:ext cx="4682490" cy="2741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26</xdr:col>
      <xdr:colOff>441007</xdr:colOff>
      <xdr:row>17</xdr:row>
      <xdr:rowOff>100965</xdr:rowOff>
    </xdr:from>
    <xdr:to>
      <xdr:col>33</xdr:col>
      <xdr:colOff>191452</xdr:colOff>
      <xdr:row>31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BAF3967-E4D6-4E36-839F-F45AE19469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76607" y="3501390"/>
              <a:ext cx="4693920" cy="2747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545782</xdr:colOff>
      <xdr:row>18</xdr:row>
      <xdr:rowOff>74295</xdr:rowOff>
    </xdr:from>
    <xdr:to>
      <xdr:col>42</xdr:col>
      <xdr:colOff>456247</xdr:colOff>
      <xdr:row>32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41B03817-84BF-4E47-B896-E60593E22D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996457" y="3674745"/>
              <a:ext cx="4711065" cy="2741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44</xdr:col>
      <xdr:colOff>469582</xdr:colOff>
      <xdr:row>18</xdr:row>
      <xdr:rowOff>45720</xdr:rowOff>
    </xdr:from>
    <xdr:to>
      <xdr:col>51</xdr:col>
      <xdr:colOff>160972</xdr:colOff>
      <xdr:row>31</xdr:row>
      <xdr:rowOff>186690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6303702-A0C1-410B-8118-AB3545CA31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92457" y="3646170"/>
              <a:ext cx="4692015" cy="2741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</xdr:colOff>
      <xdr:row>16</xdr:row>
      <xdr:rowOff>106680</xdr:rowOff>
    </xdr:from>
    <xdr:to>
      <xdr:col>5</xdr:col>
      <xdr:colOff>755332</xdr:colOff>
      <xdr:row>30</xdr:row>
      <xdr:rowOff>43815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3A8166B-7AB7-442B-9083-9EF01EC83D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722" y="3307080"/>
              <a:ext cx="4566285" cy="2737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170497</xdr:colOff>
      <xdr:row>16</xdr:row>
      <xdr:rowOff>112395</xdr:rowOff>
    </xdr:from>
    <xdr:to>
      <xdr:col>15</xdr:col>
      <xdr:colOff>6667</xdr:colOff>
      <xdr:row>30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0552935-F5A7-4BB5-AAF7-426A97C7F3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4197" y="3312795"/>
              <a:ext cx="4560570" cy="2741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143827</xdr:colOff>
      <xdr:row>16</xdr:row>
      <xdr:rowOff>131445</xdr:rowOff>
    </xdr:from>
    <xdr:to>
      <xdr:col>23</xdr:col>
      <xdr:colOff>764857</xdr:colOff>
      <xdr:row>30</xdr:row>
      <xdr:rowOff>72390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67729BBD-AB1D-40E6-8FD5-0468EB028A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69327" y="3331845"/>
              <a:ext cx="4573905" cy="2741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26</xdr:col>
      <xdr:colOff>553402</xdr:colOff>
      <xdr:row>17</xdr:row>
      <xdr:rowOff>1905</xdr:rowOff>
    </xdr:from>
    <xdr:to>
      <xdr:col>33</xdr:col>
      <xdr:colOff>124777</xdr:colOff>
      <xdr:row>30</xdr:row>
      <xdr:rowOff>139065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49ABA55-56F9-4533-91C5-D3BA04B5A3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89202" y="3402330"/>
              <a:ext cx="4591050" cy="27374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35</xdr:col>
      <xdr:colOff>656272</xdr:colOff>
      <xdr:row>16</xdr:row>
      <xdr:rowOff>74295</xdr:rowOff>
    </xdr:from>
    <xdr:to>
      <xdr:col>42</xdr:col>
      <xdr:colOff>50482</xdr:colOff>
      <xdr:row>30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4F4D3E6D-AC9D-4A52-9DB8-3A5566CC73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783347" y="3274695"/>
              <a:ext cx="4585335" cy="27412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44</xdr:col>
      <xdr:colOff>260032</xdr:colOff>
      <xdr:row>16</xdr:row>
      <xdr:rowOff>104775</xdr:rowOff>
    </xdr:from>
    <xdr:to>
      <xdr:col>50</xdr:col>
      <xdr:colOff>726757</xdr:colOff>
      <xdr:row>30</xdr:row>
      <xdr:rowOff>49530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CD435362-B8C2-4961-A99D-D1359E7581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949832" y="3305175"/>
              <a:ext cx="4581525" cy="27451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193357</xdr:colOff>
      <xdr:row>16</xdr:row>
      <xdr:rowOff>66675</xdr:rowOff>
    </xdr:from>
    <xdr:to>
      <xdr:col>7</xdr:col>
      <xdr:colOff>421005</xdr:colOff>
      <xdr:row>30</xdr:row>
      <xdr:rowOff>26670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6C734C-86A8-4D6C-8D6E-337C1BC67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549592</xdr:colOff>
      <xdr:row>16</xdr:row>
      <xdr:rowOff>24765</xdr:rowOff>
    </xdr:from>
    <xdr:to>
      <xdr:col>13</xdr:col>
      <xdr:colOff>494347</xdr:colOff>
      <xdr:row>29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A8A93C5-8F34-4863-9CD5-046B24719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132397</xdr:colOff>
      <xdr:row>16</xdr:row>
      <xdr:rowOff>19050</xdr:rowOff>
    </xdr:from>
    <xdr:to>
      <xdr:col>20</xdr:col>
      <xdr:colOff>155257</xdr:colOff>
      <xdr:row>29</xdr:row>
      <xdr:rowOff>173355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B6FED3B-74C1-4665-9A90-D4976B80E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4868-E7D0-164A-A003-78037C6354A3}">
  <dimension ref="A1:T79"/>
  <sheetViews>
    <sheetView tabSelected="1" topLeftCell="A64" workbookViewId="0">
      <selection activeCell="G27" sqref="G27"/>
    </sheetView>
  </sheetViews>
  <sheetFormatPr defaultColWidth="11.125" defaultRowHeight="15.75" x14ac:dyDescent="0.25"/>
  <cols>
    <col min="1" max="1" width="12.125" bestFit="1" customWidth="1"/>
    <col min="5" max="5" width="13.5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  <c r="H1" s="2" t="s">
        <v>5</v>
      </c>
      <c r="I1" s="2" t="s">
        <v>4</v>
      </c>
      <c r="J1" s="2" t="s">
        <v>5</v>
      </c>
      <c r="K1" s="2" t="s">
        <v>4</v>
      </c>
      <c r="L1" s="2" t="s">
        <v>5</v>
      </c>
      <c r="M1" s="2" t="s">
        <v>4</v>
      </c>
      <c r="N1" s="2" t="s">
        <v>5</v>
      </c>
      <c r="O1" s="2" t="s">
        <v>4</v>
      </c>
      <c r="P1" s="2" t="s">
        <v>5</v>
      </c>
      <c r="Q1" s="2" t="s">
        <v>4</v>
      </c>
      <c r="R1" s="2" t="s">
        <v>5</v>
      </c>
      <c r="S1" s="2" t="s">
        <v>4</v>
      </c>
      <c r="T1" s="2" t="s">
        <v>5</v>
      </c>
    </row>
    <row r="2" spans="1:20" x14ac:dyDescent="0.25">
      <c r="A2" s="50" t="s">
        <v>1</v>
      </c>
      <c r="B2" s="50" t="s">
        <v>2</v>
      </c>
      <c r="C2" s="50" t="s">
        <v>3</v>
      </c>
    </row>
    <row r="3" spans="1:20" x14ac:dyDescent="0.25">
      <c r="A3" s="21"/>
      <c r="B3" s="21"/>
      <c r="C3" s="21"/>
    </row>
    <row r="4" spans="1:20" x14ac:dyDescent="0.25">
      <c r="A4" s="51"/>
      <c r="B4" s="51"/>
      <c r="C4" s="51"/>
    </row>
    <row r="5" spans="1:20" x14ac:dyDescent="0.25">
      <c r="A5" s="74" t="s">
        <v>6</v>
      </c>
      <c r="B5" s="74" t="s">
        <v>7</v>
      </c>
      <c r="C5" s="74">
        <v>43</v>
      </c>
    </row>
    <row r="6" spans="1:20" x14ac:dyDescent="0.25">
      <c r="A6" s="74" t="s">
        <v>8</v>
      </c>
      <c r="B6" s="74" t="s">
        <v>7</v>
      </c>
      <c r="C6" s="74">
        <v>47</v>
      </c>
    </row>
    <row r="7" spans="1:20" x14ac:dyDescent="0.25">
      <c r="A7" s="74" t="s">
        <v>9</v>
      </c>
      <c r="B7" s="74" t="s">
        <v>7</v>
      </c>
      <c r="C7" s="74">
        <v>70</v>
      </c>
    </row>
    <row r="8" spans="1:20" x14ac:dyDescent="0.25">
      <c r="A8" s="74" t="s">
        <v>10</v>
      </c>
      <c r="B8" s="74" t="s">
        <v>7</v>
      </c>
      <c r="C8" s="74">
        <v>60</v>
      </c>
    </row>
    <row r="9" spans="1:20" x14ac:dyDescent="0.25">
      <c r="A9" s="74" t="s">
        <v>11</v>
      </c>
      <c r="B9" s="74" t="s">
        <v>12</v>
      </c>
      <c r="C9" s="74">
        <v>68</v>
      </c>
    </row>
    <row r="10" spans="1:20" x14ac:dyDescent="0.25">
      <c r="A10" s="74" t="s">
        <v>13</v>
      </c>
      <c r="B10" s="74" t="s">
        <v>7</v>
      </c>
      <c r="C10" s="74">
        <v>57</v>
      </c>
    </row>
    <row r="11" spans="1:20" x14ac:dyDescent="0.25">
      <c r="A11" s="74" t="s">
        <v>14</v>
      </c>
      <c r="B11" s="74" t="s">
        <v>7</v>
      </c>
      <c r="C11" s="74">
        <v>64</v>
      </c>
      <c r="E11" t="s">
        <v>193</v>
      </c>
    </row>
    <row r="12" spans="1:20" x14ac:dyDescent="0.25">
      <c r="A12" s="74" t="s">
        <v>15</v>
      </c>
      <c r="B12" s="74" t="s">
        <v>12</v>
      </c>
      <c r="C12" s="74">
        <v>47</v>
      </c>
      <c r="E12" s="76"/>
      <c r="F12" s="76"/>
      <c r="G12" s="76"/>
    </row>
    <row r="13" spans="1:20" x14ac:dyDescent="0.25">
      <c r="A13" s="74" t="s">
        <v>16</v>
      </c>
      <c r="B13" s="74" t="s">
        <v>12</v>
      </c>
      <c r="C13" s="74">
        <v>71</v>
      </c>
    </row>
    <row r="14" spans="1:20" x14ac:dyDescent="0.25">
      <c r="A14" s="74" t="s">
        <v>17</v>
      </c>
      <c r="B14" s="74" t="s">
        <v>7</v>
      </c>
      <c r="C14" s="74">
        <v>66</v>
      </c>
    </row>
    <row r="15" spans="1:20" x14ac:dyDescent="0.25">
      <c r="A15" s="74" t="s">
        <v>18</v>
      </c>
      <c r="B15" s="74" t="s">
        <v>7</v>
      </c>
      <c r="C15" s="74">
        <v>58</v>
      </c>
    </row>
    <row r="16" spans="1:20" x14ac:dyDescent="0.25">
      <c r="A16" s="74" t="s">
        <v>19</v>
      </c>
      <c r="B16" s="74" t="s">
        <v>7</v>
      </c>
      <c r="C16" s="74">
        <v>62</v>
      </c>
    </row>
    <row r="17" spans="1:3" x14ac:dyDescent="0.25">
      <c r="A17" s="21"/>
      <c r="B17" s="21"/>
      <c r="C17" s="21"/>
    </row>
    <row r="18" spans="1:3" x14ac:dyDescent="0.25">
      <c r="A18" s="21"/>
      <c r="B18" s="21"/>
      <c r="C18" s="21"/>
    </row>
    <row r="19" spans="1:3" x14ac:dyDescent="0.25">
      <c r="A19" s="21"/>
      <c r="B19" s="21"/>
      <c r="C19" s="21"/>
    </row>
    <row r="20" spans="1:3" x14ac:dyDescent="0.25">
      <c r="A20" s="21"/>
      <c r="B20" s="21"/>
      <c r="C20" s="21"/>
    </row>
    <row r="21" spans="1:3" x14ac:dyDescent="0.25">
      <c r="A21" s="21"/>
      <c r="B21" s="21"/>
      <c r="C21" s="21"/>
    </row>
    <row r="22" spans="1:3" x14ac:dyDescent="0.25">
      <c r="A22" s="21"/>
      <c r="B22" s="21"/>
      <c r="C22" s="21"/>
    </row>
    <row r="23" spans="1:3" x14ac:dyDescent="0.25">
      <c r="A23" s="21"/>
      <c r="B23" s="21"/>
      <c r="C23" s="21"/>
    </row>
    <row r="24" spans="1:3" x14ac:dyDescent="0.25">
      <c r="A24" s="50" t="s">
        <v>1</v>
      </c>
      <c r="B24" s="50" t="s">
        <v>2</v>
      </c>
      <c r="C24" s="50" t="s">
        <v>3</v>
      </c>
    </row>
    <row r="25" spans="1:3" x14ac:dyDescent="0.25">
      <c r="A25" s="74" t="s">
        <v>20</v>
      </c>
      <c r="B25" s="74" t="s">
        <v>7</v>
      </c>
      <c r="C25" s="75">
        <v>26</v>
      </c>
    </row>
    <row r="26" spans="1:3" x14ac:dyDescent="0.25">
      <c r="A26" s="21" t="s">
        <v>21</v>
      </c>
      <c r="B26" s="21" t="s">
        <v>12</v>
      </c>
      <c r="C26" s="52">
        <v>28</v>
      </c>
    </row>
    <row r="27" spans="1:3" x14ac:dyDescent="0.25">
      <c r="A27" s="21" t="s">
        <v>22</v>
      </c>
      <c r="B27" s="21" t="s">
        <v>12</v>
      </c>
      <c r="C27" s="52">
        <v>31</v>
      </c>
    </row>
    <row r="28" spans="1:3" x14ac:dyDescent="0.25">
      <c r="A28" s="21" t="s">
        <v>23</v>
      </c>
      <c r="B28" s="21" t="s">
        <v>7</v>
      </c>
      <c r="C28" s="21">
        <v>24</v>
      </c>
    </row>
    <row r="29" spans="1:3" x14ac:dyDescent="0.25">
      <c r="A29" s="21" t="s">
        <v>24</v>
      </c>
      <c r="B29" s="21" t="s">
        <v>12</v>
      </c>
      <c r="C29" s="52">
        <v>26</v>
      </c>
    </row>
    <row r="30" spans="1:3" x14ac:dyDescent="0.25">
      <c r="A30" s="52" t="s">
        <v>25</v>
      </c>
      <c r="B30" s="52" t="s">
        <v>12</v>
      </c>
      <c r="C30" s="52">
        <v>29</v>
      </c>
    </row>
    <row r="31" spans="1:3" x14ac:dyDescent="0.25">
      <c r="A31" s="52" t="s">
        <v>26</v>
      </c>
      <c r="B31" s="52" t="s">
        <v>7</v>
      </c>
      <c r="C31" s="52">
        <v>33</v>
      </c>
    </row>
    <row r="32" spans="1:3" x14ac:dyDescent="0.25">
      <c r="A32" s="52" t="s">
        <v>27</v>
      </c>
      <c r="B32" s="52" t="s">
        <v>12</v>
      </c>
      <c r="C32" s="52">
        <v>27</v>
      </c>
    </row>
    <row r="33" spans="1:3" x14ac:dyDescent="0.25">
      <c r="A33" s="52" t="s">
        <v>28</v>
      </c>
      <c r="B33" s="52" t="s">
        <v>12</v>
      </c>
      <c r="C33" s="52">
        <v>26</v>
      </c>
    </row>
    <row r="34" spans="1:3" x14ac:dyDescent="0.25">
      <c r="A34" s="52" t="s">
        <v>29</v>
      </c>
      <c r="B34" s="52" t="s">
        <v>12</v>
      </c>
      <c r="C34" s="52">
        <v>22</v>
      </c>
    </row>
    <row r="35" spans="1:3" x14ac:dyDescent="0.25">
      <c r="A35" s="52" t="s">
        <v>30</v>
      </c>
      <c r="B35" s="52" t="s">
        <v>12</v>
      </c>
      <c r="C35" s="52">
        <v>42</v>
      </c>
    </row>
    <row r="36" spans="1:3" x14ac:dyDescent="0.25">
      <c r="A36" s="75" t="s">
        <v>31</v>
      </c>
      <c r="B36" s="75" t="s">
        <v>12</v>
      </c>
      <c r="C36" s="75">
        <v>58</v>
      </c>
    </row>
    <row r="37" spans="1:3" x14ac:dyDescent="0.25">
      <c r="A37" s="52" t="s">
        <v>32</v>
      </c>
      <c r="B37" s="52" t="s">
        <v>12</v>
      </c>
      <c r="C37" s="52">
        <v>54</v>
      </c>
    </row>
    <row r="38" spans="1:3" x14ac:dyDescent="0.25">
      <c r="A38" s="75" t="s">
        <v>33</v>
      </c>
      <c r="B38" s="75" t="s">
        <v>12</v>
      </c>
      <c r="C38" s="75">
        <v>46</v>
      </c>
    </row>
    <row r="39" spans="1:3" x14ac:dyDescent="0.25">
      <c r="A39" s="52" t="s">
        <v>34</v>
      </c>
      <c r="B39" s="52" t="s">
        <v>7</v>
      </c>
      <c r="C39" s="52">
        <v>55</v>
      </c>
    </row>
    <row r="40" spans="1:3" x14ac:dyDescent="0.25">
      <c r="A40" s="75" t="s">
        <v>35</v>
      </c>
      <c r="B40" s="75" t="s">
        <v>7</v>
      </c>
      <c r="C40" s="75">
        <v>64</v>
      </c>
    </row>
    <row r="41" spans="1:3" x14ac:dyDescent="0.25">
      <c r="A41" s="52" t="s">
        <v>36</v>
      </c>
      <c r="B41" s="52" t="s">
        <v>12</v>
      </c>
      <c r="C41" s="52">
        <v>22</v>
      </c>
    </row>
    <row r="42" spans="1:3" x14ac:dyDescent="0.25">
      <c r="A42" s="52" t="s">
        <v>37</v>
      </c>
      <c r="B42" s="52" t="s">
        <v>12</v>
      </c>
      <c r="C42" s="52">
        <v>39</v>
      </c>
    </row>
    <row r="43" spans="1:3" x14ac:dyDescent="0.25">
      <c r="A43" s="21" t="s">
        <v>38</v>
      </c>
      <c r="B43" s="21" t="s">
        <v>7</v>
      </c>
      <c r="C43" s="21">
        <v>46</v>
      </c>
    </row>
    <row r="44" spans="1:3" x14ac:dyDescent="0.25">
      <c r="A44" s="21" t="s">
        <v>39</v>
      </c>
      <c r="B44" s="21" t="s">
        <v>12</v>
      </c>
      <c r="C44" s="21">
        <v>37</v>
      </c>
    </row>
    <row r="45" spans="1:3" x14ac:dyDescent="0.25">
      <c r="A45" s="21" t="s">
        <v>40</v>
      </c>
      <c r="B45" s="21" t="s">
        <v>12</v>
      </c>
      <c r="C45" s="21">
        <v>38</v>
      </c>
    </row>
    <row r="46" spans="1:3" x14ac:dyDescent="0.25">
      <c r="A46" s="21" t="s">
        <v>41</v>
      </c>
      <c r="B46" s="21" t="s">
        <v>7</v>
      </c>
      <c r="C46" s="21">
        <v>62</v>
      </c>
    </row>
    <row r="47" spans="1:3" x14ac:dyDescent="0.25">
      <c r="A47" s="21" t="s">
        <v>42</v>
      </c>
      <c r="B47" s="21" t="s">
        <v>7</v>
      </c>
      <c r="C47" s="21">
        <v>26</v>
      </c>
    </row>
    <row r="48" spans="1:3" x14ac:dyDescent="0.25">
      <c r="A48" s="21" t="s">
        <v>43</v>
      </c>
      <c r="B48" s="21" t="s">
        <v>12</v>
      </c>
      <c r="C48" s="21">
        <v>56</v>
      </c>
    </row>
    <row r="49" spans="1:3" x14ac:dyDescent="0.25">
      <c r="A49" s="74" t="s">
        <v>44</v>
      </c>
      <c r="B49" s="74" t="s">
        <v>7</v>
      </c>
      <c r="C49" s="74">
        <v>68</v>
      </c>
    </row>
    <row r="50" spans="1:3" x14ac:dyDescent="0.25">
      <c r="A50" s="21" t="s">
        <v>45</v>
      </c>
      <c r="B50" s="21" t="s">
        <v>12</v>
      </c>
      <c r="C50" s="21">
        <v>59</v>
      </c>
    </row>
    <row r="51" spans="1:3" x14ac:dyDescent="0.25">
      <c r="A51" s="21" t="s">
        <v>46</v>
      </c>
      <c r="B51" s="21" t="s">
        <v>7</v>
      </c>
      <c r="C51" s="21">
        <v>49</v>
      </c>
    </row>
    <row r="52" spans="1:3" x14ac:dyDescent="0.25">
      <c r="A52" s="21" t="s">
        <v>47</v>
      </c>
      <c r="B52" s="21" t="s">
        <v>7</v>
      </c>
      <c r="C52" s="21">
        <v>32</v>
      </c>
    </row>
    <row r="53" spans="1:3" x14ac:dyDescent="0.25">
      <c r="A53" s="21" t="s">
        <v>48</v>
      </c>
      <c r="B53" s="21" t="s">
        <v>12</v>
      </c>
      <c r="C53" s="21">
        <v>54</v>
      </c>
    </row>
    <row r="54" spans="1:3" x14ac:dyDescent="0.25">
      <c r="A54" s="21" t="s">
        <v>49</v>
      </c>
      <c r="B54" s="21" t="s">
        <v>12</v>
      </c>
      <c r="C54" s="21">
        <v>44</v>
      </c>
    </row>
    <row r="55" spans="1:3" x14ac:dyDescent="0.25">
      <c r="A55" s="74" t="s">
        <v>50</v>
      </c>
      <c r="B55" s="74" t="s">
        <v>7</v>
      </c>
      <c r="C55" s="74">
        <v>62</v>
      </c>
    </row>
    <row r="56" spans="1:3" x14ac:dyDescent="0.25">
      <c r="A56" s="21" t="s">
        <v>32</v>
      </c>
      <c r="B56" s="21" t="s">
        <v>12</v>
      </c>
      <c r="C56" s="21">
        <v>45</v>
      </c>
    </row>
    <row r="57" spans="1:3" x14ac:dyDescent="0.25">
      <c r="A57" s="21" t="s">
        <v>51</v>
      </c>
      <c r="B57" s="21" t="s">
        <v>7</v>
      </c>
      <c r="C57" s="21">
        <v>56</v>
      </c>
    </row>
    <row r="58" spans="1:3" x14ac:dyDescent="0.25">
      <c r="A58" s="21" t="s">
        <v>52</v>
      </c>
      <c r="B58" s="21" t="s">
        <v>12</v>
      </c>
      <c r="C58" s="21">
        <v>55</v>
      </c>
    </row>
    <row r="59" spans="1:3" x14ac:dyDescent="0.25">
      <c r="A59" s="21" t="s">
        <v>53</v>
      </c>
      <c r="B59" s="21" t="s">
        <v>7</v>
      </c>
      <c r="C59" s="21">
        <v>33</v>
      </c>
    </row>
    <row r="60" spans="1:3" x14ac:dyDescent="0.25">
      <c r="A60" s="74" t="s">
        <v>54</v>
      </c>
      <c r="B60" s="74" t="s">
        <v>12</v>
      </c>
      <c r="C60" s="74">
        <v>56</v>
      </c>
    </row>
    <row r="61" spans="1:3" x14ac:dyDescent="0.25">
      <c r="A61" s="21" t="s">
        <v>55</v>
      </c>
      <c r="B61" s="21" t="s">
        <v>12</v>
      </c>
      <c r="C61" s="21">
        <v>56</v>
      </c>
    </row>
    <row r="62" spans="1:3" x14ac:dyDescent="0.25">
      <c r="A62" s="21" t="s">
        <v>56</v>
      </c>
      <c r="B62" s="21" t="s">
        <v>12</v>
      </c>
      <c r="C62" s="21">
        <v>49</v>
      </c>
    </row>
    <row r="63" spans="1:3" x14ac:dyDescent="0.25">
      <c r="A63" s="21" t="s">
        <v>57</v>
      </c>
      <c r="B63" s="21" t="s">
        <v>12</v>
      </c>
      <c r="C63" s="21">
        <v>39</v>
      </c>
    </row>
    <row r="64" spans="1:3" x14ac:dyDescent="0.25">
      <c r="A64" s="21" t="s">
        <v>58</v>
      </c>
      <c r="B64" s="21" t="s">
        <v>12</v>
      </c>
      <c r="C64" s="21">
        <v>59</v>
      </c>
    </row>
    <row r="65" spans="1:3" x14ac:dyDescent="0.25">
      <c r="A65" s="21" t="s">
        <v>59</v>
      </c>
      <c r="B65" s="21" t="s">
        <v>7</v>
      </c>
      <c r="C65" s="21">
        <v>41</v>
      </c>
    </row>
    <row r="66" spans="1:3" x14ac:dyDescent="0.25">
      <c r="A66" s="21" t="s">
        <v>60</v>
      </c>
      <c r="B66" s="21" t="s">
        <v>12</v>
      </c>
      <c r="C66" s="21">
        <v>43</v>
      </c>
    </row>
    <row r="67" spans="1:3" x14ac:dyDescent="0.25">
      <c r="A67" s="21" t="s">
        <v>61</v>
      </c>
      <c r="B67" s="21" t="s">
        <v>12</v>
      </c>
      <c r="C67" s="21">
        <v>61</v>
      </c>
    </row>
    <row r="68" spans="1:3" x14ac:dyDescent="0.25">
      <c r="A68" s="74" t="s">
        <v>62</v>
      </c>
      <c r="B68" s="74" t="s">
        <v>12</v>
      </c>
      <c r="C68" s="74">
        <v>71</v>
      </c>
    </row>
    <row r="69" spans="1:3" x14ac:dyDescent="0.25">
      <c r="A69" s="21" t="s">
        <v>63</v>
      </c>
      <c r="B69" s="21" t="s">
        <v>7</v>
      </c>
      <c r="C69" s="21">
        <v>76</v>
      </c>
    </row>
    <row r="70" spans="1:3" x14ac:dyDescent="0.25">
      <c r="A70" s="21" t="s">
        <v>64</v>
      </c>
      <c r="B70" s="21" t="s">
        <v>7</v>
      </c>
      <c r="C70" s="21">
        <v>44</v>
      </c>
    </row>
    <row r="71" spans="1:3" x14ac:dyDescent="0.25">
      <c r="A71" s="21" t="s">
        <v>65</v>
      </c>
      <c r="B71" s="21" t="s">
        <v>7</v>
      </c>
      <c r="C71" s="21">
        <v>74</v>
      </c>
    </row>
    <row r="72" spans="1:3" x14ac:dyDescent="0.25">
      <c r="A72" s="21" t="s">
        <v>66</v>
      </c>
      <c r="B72" s="21" t="s">
        <v>12</v>
      </c>
      <c r="C72" s="21">
        <v>67</v>
      </c>
    </row>
    <row r="73" spans="1:3" x14ac:dyDescent="0.25">
      <c r="A73" s="74" t="s">
        <v>67</v>
      </c>
      <c r="B73" s="74" t="s">
        <v>7</v>
      </c>
      <c r="C73" s="74">
        <v>65</v>
      </c>
    </row>
    <row r="74" spans="1:3" x14ac:dyDescent="0.25">
      <c r="A74" s="21" t="s">
        <v>68</v>
      </c>
      <c r="B74" s="21" t="s">
        <v>7</v>
      </c>
      <c r="C74" s="21">
        <v>61</v>
      </c>
    </row>
    <row r="75" spans="1:3" x14ac:dyDescent="0.25">
      <c r="A75" s="53" t="s">
        <v>69</v>
      </c>
      <c r="B75" s="53" t="s">
        <v>12</v>
      </c>
      <c r="C75" s="21">
        <v>60</v>
      </c>
    </row>
    <row r="76" spans="1:3" x14ac:dyDescent="0.25">
      <c r="A76" s="74" t="s">
        <v>70</v>
      </c>
      <c r="B76" s="74" t="s">
        <v>7</v>
      </c>
      <c r="C76" s="74">
        <v>43</v>
      </c>
    </row>
    <row r="77" spans="1:3" x14ac:dyDescent="0.25">
      <c r="A77" s="21" t="s">
        <v>71</v>
      </c>
      <c r="B77" s="21" t="s">
        <v>7</v>
      </c>
      <c r="C77" s="21">
        <v>61</v>
      </c>
    </row>
    <row r="78" spans="1:3" x14ac:dyDescent="0.25">
      <c r="A78" s="21" t="s">
        <v>72</v>
      </c>
      <c r="B78" s="21" t="s">
        <v>7</v>
      </c>
      <c r="C78" s="21">
        <v>64</v>
      </c>
    </row>
    <row r="79" spans="1:3" x14ac:dyDescent="0.25">
      <c r="A79" s="74" t="s">
        <v>73</v>
      </c>
      <c r="B79" s="74" t="s">
        <v>12</v>
      </c>
      <c r="C79" s="74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0066-375A-0142-B7C6-BF89C17F0188}">
  <dimension ref="A1:BN129"/>
  <sheetViews>
    <sheetView topLeftCell="C1" workbookViewId="0">
      <pane xSplit="1" topLeftCell="D1" activePane="topRight" state="frozen"/>
      <selection activeCell="C1" sqref="C1"/>
      <selection pane="topRight" activeCell="O20" sqref="O20"/>
    </sheetView>
  </sheetViews>
  <sheetFormatPr defaultColWidth="11.125" defaultRowHeight="15.75" x14ac:dyDescent="0.25"/>
  <cols>
    <col min="2" max="2" width="13.5" bestFit="1" customWidth="1"/>
    <col min="3" max="3" width="12.125" bestFit="1" customWidth="1"/>
    <col min="15" max="15" width="17.125" bestFit="1" customWidth="1"/>
    <col min="16" max="16" width="17.5" customWidth="1"/>
    <col min="32" max="32" width="16.125" customWidth="1"/>
    <col min="47" max="47" width="16.125" customWidth="1"/>
    <col min="62" max="62" width="16.125" customWidth="1"/>
  </cols>
  <sheetData>
    <row r="1" spans="1:66" x14ac:dyDescent="0.25">
      <c r="D1" s="69" t="s">
        <v>74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6" t="s">
        <v>75</v>
      </c>
      <c r="Q1" s="6"/>
      <c r="R1" s="6"/>
      <c r="S1" s="6"/>
      <c r="T1" s="70" t="s">
        <v>76</v>
      </c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66" t="s">
        <v>75</v>
      </c>
      <c r="AG1" s="6"/>
      <c r="AH1" s="6"/>
      <c r="AI1" s="69" t="s">
        <v>77</v>
      </c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6" t="s">
        <v>75</v>
      </c>
      <c r="AV1" s="6"/>
      <c r="AW1" s="6"/>
      <c r="AX1" s="70" t="s">
        <v>78</v>
      </c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66" t="s">
        <v>75</v>
      </c>
      <c r="BK1" s="6"/>
      <c r="BL1" s="6"/>
    </row>
    <row r="2" spans="1:66" s="19" customFormat="1" ht="60" customHeight="1" x14ac:dyDescent="0.25">
      <c r="D2" s="71" t="s">
        <v>79</v>
      </c>
      <c r="E2" s="71"/>
      <c r="F2" s="71"/>
      <c r="G2" s="71"/>
      <c r="H2" s="71"/>
      <c r="I2" s="7" t="s">
        <v>80</v>
      </c>
      <c r="J2" s="72" t="s">
        <v>81</v>
      </c>
      <c r="K2" s="72"/>
      <c r="L2" s="72"/>
      <c r="M2" s="72"/>
      <c r="N2" s="72"/>
      <c r="O2" s="72"/>
      <c r="P2" s="66"/>
      <c r="Q2" s="20" t="s">
        <v>82</v>
      </c>
      <c r="R2" s="20" t="s">
        <v>83</v>
      </c>
      <c r="S2" s="20" t="s">
        <v>84</v>
      </c>
      <c r="T2" s="71" t="s">
        <v>79</v>
      </c>
      <c r="U2" s="71"/>
      <c r="V2" s="71"/>
      <c r="W2" s="71"/>
      <c r="X2" s="71"/>
      <c r="Y2" s="7" t="s">
        <v>80</v>
      </c>
      <c r="Z2" s="72" t="s">
        <v>81</v>
      </c>
      <c r="AA2" s="72"/>
      <c r="AB2" s="72"/>
      <c r="AC2" s="72"/>
      <c r="AD2" s="72"/>
      <c r="AE2" s="72"/>
      <c r="AF2" s="66"/>
      <c r="AG2" s="20"/>
      <c r="AH2" s="20"/>
      <c r="AI2" s="71" t="s">
        <v>79</v>
      </c>
      <c r="AJ2" s="71"/>
      <c r="AK2" s="71"/>
      <c r="AL2" s="71"/>
      <c r="AM2" s="71"/>
      <c r="AN2" s="7" t="s">
        <v>80</v>
      </c>
      <c r="AO2" s="72" t="s">
        <v>81</v>
      </c>
      <c r="AP2" s="72"/>
      <c r="AQ2" s="72"/>
      <c r="AR2" s="72"/>
      <c r="AS2" s="72"/>
      <c r="AT2" s="72"/>
      <c r="AU2" s="66"/>
      <c r="AV2" s="20"/>
      <c r="AW2" s="20"/>
      <c r="AX2" s="71" t="s">
        <v>79</v>
      </c>
      <c r="AY2" s="71"/>
      <c r="AZ2" s="71"/>
      <c r="BA2" s="71"/>
      <c r="BB2" s="71"/>
      <c r="BC2" s="7" t="s">
        <v>80</v>
      </c>
      <c r="BD2" s="72" t="s">
        <v>81</v>
      </c>
      <c r="BE2" s="72"/>
      <c r="BF2" s="72"/>
      <c r="BG2" s="72"/>
      <c r="BH2" s="72"/>
      <c r="BI2" s="72"/>
      <c r="BJ2" s="66"/>
      <c r="BK2" s="20"/>
      <c r="BL2" s="20"/>
    </row>
    <row r="3" spans="1:66" x14ac:dyDescent="0.25">
      <c r="A3" s="1" t="s">
        <v>85</v>
      </c>
      <c r="B3" s="1" t="s">
        <v>86</v>
      </c>
      <c r="C3" s="1" t="s">
        <v>0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  <c r="M3" s="2" t="s">
        <v>96</v>
      </c>
      <c r="N3" s="2" t="s">
        <v>97</v>
      </c>
      <c r="O3" s="2" t="s">
        <v>98</v>
      </c>
      <c r="P3" s="2" t="s">
        <v>99</v>
      </c>
      <c r="Q3" s="2"/>
      <c r="R3" s="2"/>
      <c r="S3" s="2"/>
      <c r="T3" s="2" t="s">
        <v>87</v>
      </c>
      <c r="U3" s="2" t="s">
        <v>88</v>
      </c>
      <c r="V3" s="2" t="s">
        <v>89</v>
      </c>
      <c r="W3" s="2" t="s">
        <v>90</v>
      </c>
      <c r="X3" s="2" t="s">
        <v>91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/>
      <c r="AH3" s="2"/>
      <c r="AI3" s="2" t="s">
        <v>87</v>
      </c>
      <c r="AJ3" s="2" t="s">
        <v>88</v>
      </c>
      <c r="AK3" s="2" t="s">
        <v>89</v>
      </c>
      <c r="AL3" s="2" t="s">
        <v>90</v>
      </c>
      <c r="AM3" s="2" t="s">
        <v>91</v>
      </c>
      <c r="AN3" s="2" t="s">
        <v>92</v>
      </c>
      <c r="AO3" s="2" t="s">
        <v>93</v>
      </c>
      <c r="AP3" s="2" t="s">
        <v>94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99</v>
      </c>
      <c r="AV3" s="2"/>
      <c r="AW3" s="2"/>
      <c r="AX3" s="2" t="s">
        <v>87</v>
      </c>
      <c r="AY3" s="2" t="s">
        <v>88</v>
      </c>
      <c r="AZ3" s="2" t="s">
        <v>89</v>
      </c>
      <c r="BA3" s="2" t="s">
        <v>90</v>
      </c>
      <c r="BB3" s="2" t="s">
        <v>91</v>
      </c>
      <c r="BC3" s="2" t="s">
        <v>92</v>
      </c>
      <c r="BD3" s="2" t="s">
        <v>93</v>
      </c>
      <c r="BE3" s="2" t="s">
        <v>94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99</v>
      </c>
      <c r="BK3" s="2"/>
      <c r="BL3" s="2"/>
    </row>
    <row r="4" spans="1:66" x14ac:dyDescent="0.25">
      <c r="A4" s="68"/>
      <c r="B4" s="3" t="s">
        <v>100</v>
      </c>
      <c r="C4" s="21" t="s">
        <v>101</v>
      </c>
      <c r="D4">
        <v>18</v>
      </c>
      <c r="E4">
        <v>22</v>
      </c>
      <c r="F4">
        <v>27</v>
      </c>
      <c r="G4">
        <v>29</v>
      </c>
      <c r="H4">
        <v>21</v>
      </c>
      <c r="I4">
        <v>14</v>
      </c>
      <c r="J4">
        <v>13</v>
      </c>
      <c r="K4">
        <v>13</v>
      </c>
      <c r="L4">
        <v>17</v>
      </c>
      <c r="M4">
        <v>17</v>
      </c>
      <c r="P4" s="5">
        <f t="shared" ref="P4:P12" si="0">IFERROR(STDEVA(D4:H4),#N/A)</f>
        <v>4.5055521304275192</v>
      </c>
      <c r="Q4">
        <f t="shared" ref="Q4:Q12" si="1">MEDIAN(D4:H4)</f>
        <v>22</v>
      </c>
      <c r="R4" s="2">
        <f t="shared" ref="R4:R12" si="2">MAX(J4:O4)</f>
        <v>17</v>
      </c>
      <c r="S4" s="27">
        <f t="shared" ref="S4:S12" si="3">100*(R4-Q4)/Q4</f>
        <v>-22.727272727272727</v>
      </c>
      <c r="T4">
        <v>23</v>
      </c>
      <c r="U4">
        <v>28</v>
      </c>
      <c r="V4">
        <v>24</v>
      </c>
      <c r="W4">
        <v>26</v>
      </c>
      <c r="X4">
        <v>25</v>
      </c>
      <c r="Y4">
        <v>13</v>
      </c>
      <c r="Z4">
        <v>41</v>
      </c>
      <c r="AA4">
        <v>33</v>
      </c>
      <c r="AB4">
        <v>37</v>
      </c>
      <c r="AC4">
        <v>34</v>
      </c>
      <c r="AF4" s="5">
        <f t="shared" ref="AF4:AF15" si="4">IFERROR(STDEVA(T4:X4),#N/A)</f>
        <v>1.9235384061671343</v>
      </c>
      <c r="AU4" s="5" t="e">
        <f t="shared" ref="AU4:AU13" si="5">IFERROR(STDEVA(AI4:AM4),#N/A)</f>
        <v>#N/A</v>
      </c>
      <c r="BJ4" s="5" t="e">
        <f t="shared" ref="BJ4:BJ13" si="6">IFERROR(STDEVA(AX4:BB4),#N/A)</f>
        <v>#N/A</v>
      </c>
    </row>
    <row r="5" spans="1:66" x14ac:dyDescent="0.25">
      <c r="A5" s="68"/>
      <c r="B5" s="3" t="s">
        <v>100</v>
      </c>
      <c r="C5" s="21" t="s">
        <v>102</v>
      </c>
      <c r="D5">
        <v>40</v>
      </c>
      <c r="E5">
        <v>41</v>
      </c>
      <c r="F5">
        <v>48</v>
      </c>
      <c r="G5">
        <v>51</v>
      </c>
      <c r="H5">
        <v>50</v>
      </c>
      <c r="I5">
        <v>20</v>
      </c>
      <c r="J5">
        <v>60</v>
      </c>
      <c r="K5">
        <v>59</v>
      </c>
      <c r="L5">
        <v>60</v>
      </c>
      <c r="M5">
        <v>57</v>
      </c>
      <c r="P5" s="5">
        <f t="shared" si="0"/>
        <v>5.1478150704935004</v>
      </c>
      <c r="Q5">
        <f t="shared" si="1"/>
        <v>48</v>
      </c>
      <c r="R5" s="2">
        <f t="shared" si="2"/>
        <v>60</v>
      </c>
      <c r="S5" s="27">
        <f t="shared" si="3"/>
        <v>25</v>
      </c>
      <c r="AF5" s="5" t="e">
        <f t="shared" si="4"/>
        <v>#N/A</v>
      </c>
      <c r="AU5" s="5" t="e">
        <f t="shared" si="5"/>
        <v>#N/A</v>
      </c>
      <c r="BJ5" s="5" t="e">
        <f t="shared" si="6"/>
        <v>#N/A</v>
      </c>
    </row>
    <row r="6" spans="1:66" x14ac:dyDescent="0.25">
      <c r="A6" s="68"/>
      <c r="B6" s="3" t="s">
        <v>100</v>
      </c>
      <c r="C6" s="21" t="s">
        <v>103</v>
      </c>
      <c r="D6">
        <v>46</v>
      </c>
      <c r="E6">
        <v>47</v>
      </c>
      <c r="F6">
        <v>44</v>
      </c>
      <c r="G6">
        <v>47</v>
      </c>
      <c r="H6">
        <v>50</v>
      </c>
      <c r="I6">
        <v>25</v>
      </c>
      <c r="J6">
        <v>64</v>
      </c>
      <c r="K6">
        <v>67</v>
      </c>
      <c r="L6">
        <v>63</v>
      </c>
      <c r="M6">
        <v>59</v>
      </c>
      <c r="P6" s="5">
        <f t="shared" si="0"/>
        <v>2.16794833886788</v>
      </c>
      <c r="Q6">
        <f t="shared" si="1"/>
        <v>47</v>
      </c>
      <c r="R6" s="2">
        <f t="shared" si="2"/>
        <v>67</v>
      </c>
      <c r="S6" s="27">
        <f t="shared" si="3"/>
        <v>42.553191489361701</v>
      </c>
      <c r="AF6" s="5" t="e">
        <f t="shared" si="4"/>
        <v>#N/A</v>
      </c>
      <c r="AU6" s="5" t="e">
        <f t="shared" si="5"/>
        <v>#N/A</v>
      </c>
      <c r="BJ6" s="5" t="e">
        <f t="shared" si="6"/>
        <v>#N/A</v>
      </c>
    </row>
    <row r="7" spans="1:66" x14ac:dyDescent="0.25">
      <c r="A7" s="68"/>
      <c r="B7" s="3" t="s">
        <v>100</v>
      </c>
      <c r="C7" s="21" t="s">
        <v>104</v>
      </c>
      <c r="D7">
        <v>34</v>
      </c>
      <c r="E7">
        <v>27</v>
      </c>
      <c r="F7">
        <v>21</v>
      </c>
      <c r="G7">
        <v>20</v>
      </c>
      <c r="H7">
        <v>28</v>
      </c>
      <c r="I7">
        <v>21</v>
      </c>
      <c r="J7">
        <v>12</v>
      </c>
      <c r="K7">
        <v>15</v>
      </c>
      <c r="L7">
        <v>22</v>
      </c>
      <c r="M7">
        <v>21</v>
      </c>
      <c r="P7" s="5">
        <f t="shared" si="0"/>
        <v>5.7008771254956896</v>
      </c>
      <c r="Q7">
        <f t="shared" si="1"/>
        <v>27</v>
      </c>
      <c r="R7" s="2">
        <f t="shared" si="2"/>
        <v>22</v>
      </c>
      <c r="S7" s="27">
        <f t="shared" si="3"/>
        <v>-18.518518518518519</v>
      </c>
      <c r="T7">
        <v>34</v>
      </c>
      <c r="U7">
        <v>37</v>
      </c>
      <c r="V7">
        <v>38</v>
      </c>
      <c r="W7">
        <v>38</v>
      </c>
      <c r="X7">
        <v>40</v>
      </c>
      <c r="Y7">
        <v>17</v>
      </c>
      <c r="Z7">
        <v>57</v>
      </c>
      <c r="AA7">
        <v>57</v>
      </c>
      <c r="AB7">
        <v>48</v>
      </c>
      <c r="AC7">
        <v>51</v>
      </c>
      <c r="AF7" s="5">
        <f t="shared" si="4"/>
        <v>2.1908902300206643</v>
      </c>
      <c r="AU7" s="5" t="e">
        <f t="shared" si="5"/>
        <v>#N/A</v>
      </c>
      <c r="BJ7" s="5" t="e">
        <f t="shared" si="6"/>
        <v>#N/A</v>
      </c>
    </row>
    <row r="8" spans="1:66" x14ac:dyDescent="0.25">
      <c r="A8" s="68"/>
      <c r="B8" s="3" t="s">
        <v>100</v>
      </c>
      <c r="C8" s="21" t="s">
        <v>105</v>
      </c>
      <c r="D8">
        <v>26</v>
      </c>
      <c r="E8">
        <v>33</v>
      </c>
      <c r="F8">
        <v>38</v>
      </c>
      <c r="G8">
        <v>38</v>
      </c>
      <c r="H8">
        <v>33</v>
      </c>
      <c r="I8">
        <v>19</v>
      </c>
      <c r="J8">
        <v>68</v>
      </c>
      <c r="K8">
        <v>62</v>
      </c>
      <c r="L8">
        <v>57</v>
      </c>
      <c r="M8">
        <v>53</v>
      </c>
      <c r="P8" s="5">
        <f t="shared" si="0"/>
        <v>4.92950301754649</v>
      </c>
      <c r="Q8">
        <f t="shared" si="1"/>
        <v>33</v>
      </c>
      <c r="R8" s="2">
        <f t="shared" si="2"/>
        <v>68</v>
      </c>
      <c r="S8" s="27">
        <f t="shared" si="3"/>
        <v>106.06060606060606</v>
      </c>
      <c r="AF8" s="5" t="e">
        <f t="shared" si="4"/>
        <v>#N/A</v>
      </c>
      <c r="AU8" s="5" t="e">
        <f t="shared" si="5"/>
        <v>#N/A</v>
      </c>
      <c r="BJ8" s="5" t="e">
        <f>IFERROR(STDEVA(AX8:BB8),#N/A)</f>
        <v>#N/A</v>
      </c>
    </row>
    <row r="9" spans="1:66" x14ac:dyDescent="0.25">
      <c r="A9" s="68"/>
      <c r="B9" s="3" t="s">
        <v>100</v>
      </c>
      <c r="C9" s="21" t="s">
        <v>106</v>
      </c>
      <c r="D9">
        <v>31</v>
      </c>
      <c r="E9">
        <v>32</v>
      </c>
      <c r="F9">
        <v>31</v>
      </c>
      <c r="G9">
        <v>32</v>
      </c>
      <c r="H9">
        <v>28</v>
      </c>
      <c r="I9">
        <v>30</v>
      </c>
      <c r="J9">
        <v>54</v>
      </c>
      <c r="K9">
        <v>39</v>
      </c>
      <c r="L9">
        <v>33</v>
      </c>
      <c r="M9">
        <v>35</v>
      </c>
      <c r="P9" s="5">
        <f t="shared" si="0"/>
        <v>1.6431676725154984</v>
      </c>
      <c r="Q9">
        <f t="shared" si="1"/>
        <v>31</v>
      </c>
      <c r="R9" s="2">
        <f t="shared" si="2"/>
        <v>54</v>
      </c>
      <c r="S9" s="27">
        <f t="shared" si="3"/>
        <v>74.193548387096769</v>
      </c>
      <c r="AF9" s="5" t="e">
        <f t="shared" si="4"/>
        <v>#N/A</v>
      </c>
      <c r="AU9" s="5" t="e">
        <f t="shared" si="5"/>
        <v>#N/A</v>
      </c>
      <c r="BJ9" s="5" t="e">
        <f t="shared" si="6"/>
        <v>#N/A</v>
      </c>
    </row>
    <row r="10" spans="1:66" x14ac:dyDescent="0.25">
      <c r="A10" s="68"/>
      <c r="B10" s="3" t="s">
        <v>100</v>
      </c>
      <c r="C10" s="21" t="s">
        <v>107</v>
      </c>
      <c r="D10">
        <v>26</v>
      </c>
      <c r="E10">
        <v>35</v>
      </c>
      <c r="F10">
        <v>25</v>
      </c>
      <c r="G10">
        <v>28</v>
      </c>
      <c r="H10">
        <v>27</v>
      </c>
      <c r="I10">
        <v>27</v>
      </c>
      <c r="J10">
        <v>51</v>
      </c>
      <c r="K10">
        <v>57</v>
      </c>
      <c r="L10">
        <v>50</v>
      </c>
      <c r="M10">
        <v>38</v>
      </c>
      <c r="P10" s="5">
        <f t="shared" si="0"/>
        <v>3.9623225512317957</v>
      </c>
      <c r="Q10">
        <f t="shared" si="1"/>
        <v>27</v>
      </c>
      <c r="R10" s="2">
        <f t="shared" si="2"/>
        <v>57</v>
      </c>
      <c r="S10" s="27">
        <f t="shared" si="3"/>
        <v>111.11111111111111</v>
      </c>
      <c r="AF10" s="5" t="e">
        <f t="shared" si="4"/>
        <v>#N/A</v>
      </c>
      <c r="AU10" s="5" t="e">
        <f t="shared" si="5"/>
        <v>#N/A</v>
      </c>
      <c r="BJ10" s="5" t="e">
        <f t="shared" si="6"/>
        <v>#N/A</v>
      </c>
    </row>
    <row r="11" spans="1:66" x14ac:dyDescent="0.25">
      <c r="A11" s="68"/>
      <c r="B11" s="3" t="s">
        <v>100</v>
      </c>
      <c r="C11" s="21" t="s">
        <v>108</v>
      </c>
      <c r="D11">
        <v>26</v>
      </c>
      <c r="E11">
        <v>29</v>
      </c>
      <c r="F11">
        <v>55</v>
      </c>
      <c r="G11">
        <v>56</v>
      </c>
      <c r="H11">
        <v>50</v>
      </c>
      <c r="I11">
        <v>18</v>
      </c>
      <c r="J11">
        <v>66</v>
      </c>
      <c r="K11">
        <v>68</v>
      </c>
      <c r="L11">
        <v>67</v>
      </c>
      <c r="M11">
        <v>67</v>
      </c>
      <c r="P11" s="5">
        <f t="shared" si="0"/>
        <v>14.549914089093441</v>
      </c>
      <c r="Q11">
        <f t="shared" si="1"/>
        <v>50</v>
      </c>
      <c r="R11" s="2">
        <f t="shared" si="2"/>
        <v>68</v>
      </c>
      <c r="S11" s="27">
        <f t="shared" si="3"/>
        <v>36</v>
      </c>
      <c r="AF11" s="5" t="e">
        <f t="shared" si="4"/>
        <v>#N/A</v>
      </c>
      <c r="AU11" s="5" t="e">
        <f t="shared" si="5"/>
        <v>#N/A</v>
      </c>
      <c r="BJ11" s="5" t="e">
        <f t="shared" si="6"/>
        <v>#N/A</v>
      </c>
    </row>
    <row r="12" spans="1:66" x14ac:dyDescent="0.25">
      <c r="A12" s="68"/>
      <c r="B12" s="3" t="s">
        <v>100</v>
      </c>
      <c r="C12" s="21" t="s">
        <v>109</v>
      </c>
      <c r="D12">
        <v>30</v>
      </c>
      <c r="E12">
        <v>35</v>
      </c>
      <c r="F12">
        <v>37</v>
      </c>
      <c r="G12">
        <v>36</v>
      </c>
      <c r="H12">
        <v>32</v>
      </c>
      <c r="I12">
        <v>23</v>
      </c>
      <c r="J12">
        <v>41</v>
      </c>
      <c r="K12">
        <v>42</v>
      </c>
      <c r="L12">
        <v>37</v>
      </c>
      <c r="M12">
        <v>43</v>
      </c>
      <c r="N12">
        <v>35</v>
      </c>
      <c r="O12">
        <v>31</v>
      </c>
      <c r="P12" s="5">
        <f t="shared" si="0"/>
        <v>2.9154759474226504</v>
      </c>
      <c r="Q12">
        <f t="shared" si="1"/>
        <v>35</v>
      </c>
      <c r="R12" s="2">
        <f t="shared" si="2"/>
        <v>43</v>
      </c>
      <c r="S12" s="27">
        <f t="shared" si="3"/>
        <v>22.857142857142858</v>
      </c>
      <c r="AF12" s="5" t="e">
        <f t="shared" si="4"/>
        <v>#N/A</v>
      </c>
      <c r="AU12" s="5" t="e">
        <f t="shared" si="5"/>
        <v>#N/A</v>
      </c>
      <c r="BJ12" s="5" t="e">
        <f t="shared" si="6"/>
        <v>#N/A</v>
      </c>
    </row>
    <row r="13" spans="1:66" x14ac:dyDescent="0.25">
      <c r="A13" s="68"/>
      <c r="B13" s="3"/>
      <c r="P13" s="31" t="s">
        <v>110</v>
      </c>
      <c r="Q13" s="30">
        <f>AVERAGE(Q4:Q12)</f>
        <v>35.555555555555557</v>
      </c>
      <c r="R13" s="30">
        <f>AVERAGE(R4:R12)</f>
        <v>50.666666666666664</v>
      </c>
      <c r="S13" s="29">
        <f>AVERAGE(S4:S12)</f>
        <v>41.836645406614132</v>
      </c>
      <c r="AF13" s="5" t="e">
        <f t="shared" si="4"/>
        <v>#N/A</v>
      </c>
      <c r="AU13" s="5" t="e">
        <f t="shared" si="5"/>
        <v>#N/A</v>
      </c>
      <c r="BJ13" s="5" t="e">
        <f t="shared" si="6"/>
        <v>#N/A</v>
      </c>
    </row>
    <row r="14" spans="1:66" x14ac:dyDescent="0.25">
      <c r="A14" s="68"/>
      <c r="B14" s="3"/>
      <c r="P14" s="31" t="s">
        <v>111</v>
      </c>
      <c r="Q14" s="29">
        <f>STDEVA(Q4:Q12)</f>
        <v>10.321229470260693</v>
      </c>
      <c r="R14" s="29">
        <f>STDEVA(R4:R12)</f>
        <v>19.429359227725449</v>
      </c>
      <c r="S14" s="29">
        <f>STDEVA(S4:S12)</f>
        <v>48.03664908420312</v>
      </c>
      <c r="AF14" s="5" t="e">
        <f t="shared" si="4"/>
        <v>#N/A</v>
      </c>
      <c r="AU14" s="5" t="e">
        <f>IFERROR(STDEVA(AI14:AM14),#N/A)</f>
        <v>#N/A</v>
      </c>
      <c r="BJ14" s="5" t="e">
        <f>IFERROR(STDEVA(AX14:BB14),#N/A)</f>
        <v>#N/A</v>
      </c>
    </row>
    <row r="15" spans="1:66" x14ac:dyDescent="0.25">
      <c r="A15" s="68"/>
      <c r="B15" s="3"/>
      <c r="P15" s="31" t="s">
        <v>112</v>
      </c>
      <c r="Q15" s="32">
        <f>Q14/Q13</f>
        <v>0.290284578851082</v>
      </c>
      <c r="R15" s="32">
        <f>R14/R13</f>
        <v>0.38347419528405491</v>
      </c>
      <c r="S15" s="32">
        <f>S14/S13</f>
        <v>1.1481955261309933</v>
      </c>
      <c r="AF15" s="5" t="e">
        <f t="shared" si="4"/>
        <v>#N/A</v>
      </c>
      <c r="AU15" s="5" t="e">
        <f>IFERROR(STDEVA(AI15:AM15),#N/A)</f>
        <v>#N/A</v>
      </c>
      <c r="BJ15" s="5" t="e">
        <f>IFERROR(STDEVA(AX15:BB15),#N/A)</f>
        <v>#N/A</v>
      </c>
    </row>
    <row r="16" spans="1:66" x14ac:dyDescent="0.25">
      <c r="A16" s="4"/>
      <c r="B16" s="3"/>
      <c r="N16" s="9"/>
      <c r="O16" s="8" t="s">
        <v>113</v>
      </c>
      <c r="P16" s="10">
        <v>5</v>
      </c>
      <c r="Q16" s="15" t="s">
        <v>114</v>
      </c>
      <c r="R16" s="16"/>
      <c r="S16" s="16"/>
      <c r="T16" s="16"/>
      <c r="U16" s="17"/>
      <c r="AC16" s="9"/>
      <c r="AD16" s="9"/>
      <c r="AE16" s="8" t="s">
        <v>113</v>
      </c>
      <c r="AF16" s="10">
        <v>5</v>
      </c>
      <c r="AG16" s="15" t="s">
        <v>114</v>
      </c>
      <c r="AH16" s="16"/>
      <c r="AI16" s="11"/>
      <c r="AJ16" s="12"/>
      <c r="AR16" s="9"/>
      <c r="AS16" s="9"/>
      <c r="AT16" s="8" t="s">
        <v>113</v>
      </c>
      <c r="AU16" s="10">
        <v>5</v>
      </c>
      <c r="AV16" s="15" t="s">
        <v>114</v>
      </c>
      <c r="AW16" s="16"/>
      <c r="AX16" s="11"/>
      <c r="AY16" s="12"/>
      <c r="BG16" s="9"/>
      <c r="BH16" s="9"/>
      <c r="BI16" s="8" t="s">
        <v>113</v>
      </c>
      <c r="BJ16" s="10">
        <v>5</v>
      </c>
      <c r="BK16" s="15" t="s">
        <v>114</v>
      </c>
      <c r="BL16" s="16"/>
      <c r="BM16" s="11"/>
      <c r="BN16" s="12"/>
    </row>
    <row r="17" spans="1:66" ht="16.5" thickBot="1" x14ac:dyDescent="0.3">
      <c r="A17" s="4"/>
      <c r="B17" s="3"/>
      <c r="N17" s="9"/>
      <c r="O17" s="8" t="s">
        <v>115</v>
      </c>
      <c r="P17" s="10">
        <v>9</v>
      </c>
      <c r="Q17" s="18" t="s">
        <v>114</v>
      </c>
      <c r="R17" s="13"/>
      <c r="S17" s="13"/>
      <c r="T17" s="13"/>
      <c r="U17" s="14"/>
      <c r="AC17" s="9"/>
      <c r="AD17" s="9"/>
      <c r="AE17" s="8" t="s">
        <v>115</v>
      </c>
      <c r="AF17" s="10">
        <v>10</v>
      </c>
      <c r="AG17" s="18" t="s">
        <v>114</v>
      </c>
      <c r="AH17" s="13"/>
      <c r="AI17" s="13"/>
      <c r="AJ17" s="14"/>
      <c r="AR17" s="9"/>
      <c r="AS17" s="9"/>
      <c r="AT17" s="8" t="s">
        <v>115</v>
      </c>
      <c r="AU17" s="10">
        <v>10</v>
      </c>
      <c r="AV17" s="18" t="s">
        <v>114</v>
      </c>
      <c r="AW17" s="13"/>
      <c r="AX17" s="13"/>
      <c r="AY17" s="14"/>
      <c r="BG17" s="9"/>
      <c r="BH17" s="9"/>
      <c r="BI17" s="8" t="s">
        <v>115</v>
      </c>
      <c r="BJ17" s="10">
        <v>10</v>
      </c>
      <c r="BK17" s="18" t="s">
        <v>114</v>
      </c>
      <c r="BL17" s="13"/>
      <c r="BM17" s="13"/>
      <c r="BN17" s="14"/>
    </row>
    <row r="18" spans="1:66" x14ac:dyDescent="0.25">
      <c r="A18" s="4"/>
      <c r="B18" s="3"/>
      <c r="O18" s="2" t="s">
        <v>116</v>
      </c>
      <c r="P18" s="27">
        <f>SQRT(AVERAGE(P4:P12))</f>
        <v>2.2490140047756846</v>
      </c>
      <c r="AE18" s="2" t="s">
        <v>116</v>
      </c>
      <c r="AF18" s="5" t="e">
        <f>SQRT(AVERAGE(AF4:AF15))</f>
        <v>#N/A</v>
      </c>
      <c r="AT18" s="2" t="s">
        <v>116</v>
      </c>
      <c r="AU18" s="5" t="e">
        <f>SQRT(AVERAGE(AU4:AU15))</f>
        <v>#N/A</v>
      </c>
      <c r="BI18" s="2" t="s">
        <v>116</v>
      </c>
      <c r="BJ18" s="5" t="e">
        <f>SQRT(AVERAGE(BJ4:BJ15))</f>
        <v>#N/A</v>
      </c>
    </row>
    <row r="19" spans="1:66" x14ac:dyDescent="0.25">
      <c r="A19" s="4"/>
      <c r="B19" s="3"/>
      <c r="O19" s="2" t="s">
        <v>117</v>
      </c>
      <c r="P19" s="27">
        <f>2.77*P18</f>
        <v>6.2297687932286463</v>
      </c>
      <c r="AE19" s="2" t="s">
        <v>117</v>
      </c>
      <c r="AF19" s="5" t="e">
        <f>2.77*AF18</f>
        <v>#N/A</v>
      </c>
      <c r="AT19" s="2" t="s">
        <v>117</v>
      </c>
      <c r="AU19" s="5" t="e">
        <f>2.77*AU18</f>
        <v>#N/A</v>
      </c>
      <c r="BI19" s="2" t="s">
        <v>117</v>
      </c>
      <c r="BJ19" s="5" t="e">
        <f>2.77*BJ18</f>
        <v>#N/A</v>
      </c>
    </row>
    <row r="20" spans="1:66" x14ac:dyDescent="0.25">
      <c r="A20" s="4"/>
      <c r="B20" s="3"/>
      <c r="O20" s="2" t="s">
        <v>118</v>
      </c>
      <c r="P20" s="27">
        <f>P19-(1.96*(P18/(SQRT(2*P17*(P16-1)))))</f>
        <v>5.7102730623335818</v>
      </c>
      <c r="AE20" s="2" t="s">
        <v>118</v>
      </c>
      <c r="AF20" s="5" t="e">
        <f>AF19-(1.96*(AF18/(SQRT(2*AF17*(AF16-1)))))</f>
        <v>#N/A</v>
      </c>
      <c r="AT20" s="2" t="s">
        <v>118</v>
      </c>
      <c r="AU20" s="5" t="e">
        <f>AU19-(1.96*(AU18/(SQRT(2*AU17*(AU16-1)))))</f>
        <v>#N/A</v>
      </c>
      <c r="BI20" s="2" t="s">
        <v>118</v>
      </c>
      <c r="BJ20" s="5" t="e">
        <f>BJ19-(1.96*(BJ18/(SQRT(2*BJ17*(BJ16-1)))))</f>
        <v>#N/A</v>
      </c>
    </row>
    <row r="21" spans="1:66" s="24" customFormat="1" x14ac:dyDescent="0.25">
      <c r="A21" s="22"/>
      <c r="B21" s="23"/>
      <c r="O21" s="25" t="s">
        <v>119</v>
      </c>
      <c r="P21" s="33">
        <f>P19+(1.96*(P18/(SQRT(2*P17*(P16-1)))))</f>
        <v>6.7492645241237108</v>
      </c>
      <c r="AE21" s="25" t="s">
        <v>119</v>
      </c>
      <c r="AF21" s="26" t="e">
        <f>AF19+(1.96*(AF18/(SQRT(2*AF17*(AF16-1)))))</f>
        <v>#N/A</v>
      </c>
      <c r="AT21" s="25" t="s">
        <v>119</v>
      </c>
      <c r="AU21" s="26" t="e">
        <f>AU19+(1.96*(AU18/(SQRT(2*AU17*(AU16-1)))))</f>
        <v>#N/A</v>
      </c>
      <c r="BI21" s="25" t="s">
        <v>119</v>
      </c>
      <c r="BJ21" s="26" t="e">
        <f>BJ19+(1.96*(BJ18/(SQRT(2*BJ17*(BJ16-1)))))</f>
        <v>#N/A</v>
      </c>
    </row>
    <row r="22" spans="1:66" s="36" customFormat="1" ht="13.35" customHeight="1" x14ac:dyDescent="0.25">
      <c r="A22" s="34"/>
      <c r="B22" s="35"/>
      <c r="O22" s="37"/>
      <c r="P22" s="38"/>
      <c r="AE22" s="37"/>
      <c r="AF22" s="38"/>
      <c r="AT22" s="37"/>
      <c r="AU22" s="38"/>
      <c r="BI22" s="37"/>
      <c r="BJ22" s="38"/>
    </row>
    <row r="23" spans="1:66" x14ac:dyDescent="0.25">
      <c r="A23" s="73" t="s">
        <v>120</v>
      </c>
      <c r="B23" s="3" t="s">
        <v>100</v>
      </c>
      <c r="C23" s="21" t="s">
        <v>121</v>
      </c>
      <c r="D23">
        <v>34</v>
      </c>
      <c r="E23">
        <v>31</v>
      </c>
      <c r="F23">
        <v>36</v>
      </c>
      <c r="G23">
        <v>40</v>
      </c>
      <c r="H23">
        <v>46</v>
      </c>
      <c r="I23">
        <v>14</v>
      </c>
      <c r="J23">
        <v>56</v>
      </c>
      <c r="K23">
        <v>47</v>
      </c>
      <c r="L23">
        <v>43</v>
      </c>
      <c r="M23">
        <v>43</v>
      </c>
      <c r="P23" s="5">
        <f t="shared" ref="P23:P29" si="7">IFERROR(STDEVA(D23:H23),#N/A)</f>
        <v>5.8137767414994492</v>
      </c>
      <c r="Q23">
        <f t="shared" ref="Q23:Q28" si="8">MEDIAN(D23:H23)</f>
        <v>36</v>
      </c>
      <c r="R23" s="2">
        <f>MAX(J23:O23)</f>
        <v>56</v>
      </c>
      <c r="S23" s="27">
        <f>100*(R23-Q23)/Q23</f>
        <v>55.555555555555557</v>
      </c>
    </row>
    <row r="24" spans="1:66" x14ac:dyDescent="0.25">
      <c r="A24" s="73"/>
      <c r="B24" s="3" t="s">
        <v>100</v>
      </c>
      <c r="C24" s="21" t="s">
        <v>122</v>
      </c>
      <c r="D24">
        <v>28</v>
      </c>
      <c r="E24">
        <v>41</v>
      </c>
      <c r="F24">
        <v>41</v>
      </c>
      <c r="G24">
        <v>39</v>
      </c>
      <c r="H24">
        <v>36</v>
      </c>
      <c r="I24">
        <v>20</v>
      </c>
      <c r="J24">
        <v>65</v>
      </c>
      <c r="K24">
        <v>62</v>
      </c>
      <c r="L24">
        <v>60</v>
      </c>
      <c r="M24">
        <v>57</v>
      </c>
      <c r="P24" s="5">
        <f t="shared" si="7"/>
        <v>5.4313902456001077</v>
      </c>
      <c r="Q24">
        <f t="shared" si="8"/>
        <v>39</v>
      </c>
      <c r="R24" s="2">
        <f t="shared" ref="R24:R29" si="9">MAX(J24:O24)</f>
        <v>65</v>
      </c>
      <c r="S24" s="27">
        <f t="shared" ref="S24:S29" si="10">100*(R24-Q24)/Q24</f>
        <v>66.666666666666671</v>
      </c>
    </row>
    <row r="25" spans="1:66" x14ac:dyDescent="0.25">
      <c r="A25" s="73"/>
      <c r="B25" s="3" t="s">
        <v>100</v>
      </c>
      <c r="C25" s="21" t="s">
        <v>123</v>
      </c>
      <c r="D25">
        <v>15</v>
      </c>
      <c r="E25">
        <v>24</v>
      </c>
      <c r="F25">
        <v>16</v>
      </c>
      <c r="G25">
        <v>23</v>
      </c>
      <c r="H25">
        <v>30</v>
      </c>
      <c r="I25">
        <v>15</v>
      </c>
      <c r="J25">
        <v>46</v>
      </c>
      <c r="K25">
        <v>47</v>
      </c>
      <c r="L25">
        <v>58</v>
      </c>
      <c r="M25">
        <v>35</v>
      </c>
      <c r="P25" s="5">
        <f t="shared" si="7"/>
        <v>6.1886993787063167</v>
      </c>
      <c r="Q25">
        <f t="shared" si="8"/>
        <v>23</v>
      </c>
      <c r="R25" s="2">
        <f t="shared" si="9"/>
        <v>58</v>
      </c>
      <c r="S25" s="27">
        <f t="shared" si="10"/>
        <v>152.17391304347825</v>
      </c>
    </row>
    <row r="26" spans="1:66" x14ac:dyDescent="0.25">
      <c r="A26" s="73"/>
      <c r="B26" s="3" t="s">
        <v>100</v>
      </c>
      <c r="C26" s="21" t="s">
        <v>124</v>
      </c>
      <c r="D26">
        <v>36</v>
      </c>
      <c r="E26">
        <v>41</v>
      </c>
      <c r="F26">
        <v>46</v>
      </c>
      <c r="G26">
        <v>41</v>
      </c>
      <c r="H26">
        <v>44</v>
      </c>
      <c r="I26">
        <v>16</v>
      </c>
      <c r="J26">
        <v>51</v>
      </c>
      <c r="K26">
        <v>44</v>
      </c>
      <c r="L26">
        <v>41</v>
      </c>
      <c r="M26">
        <v>41</v>
      </c>
      <c r="N26">
        <v>42</v>
      </c>
      <c r="O26">
        <v>42</v>
      </c>
      <c r="P26" s="5">
        <f t="shared" si="7"/>
        <v>3.7815340802378077</v>
      </c>
      <c r="Q26">
        <f t="shared" si="8"/>
        <v>41</v>
      </c>
      <c r="R26" s="2">
        <f t="shared" si="9"/>
        <v>51</v>
      </c>
      <c r="S26" s="27">
        <f t="shared" si="10"/>
        <v>24.390243902439025</v>
      </c>
      <c r="T26">
        <v>38</v>
      </c>
      <c r="U26">
        <v>43</v>
      </c>
      <c r="V26">
        <v>41</v>
      </c>
      <c r="W26">
        <v>37</v>
      </c>
      <c r="X26">
        <v>38</v>
      </c>
      <c r="Y26">
        <v>24</v>
      </c>
      <c r="Z26">
        <v>43</v>
      </c>
      <c r="AA26">
        <v>49</v>
      </c>
      <c r="AB26">
        <v>51</v>
      </c>
      <c r="AC26">
        <v>44</v>
      </c>
      <c r="AD26">
        <v>47</v>
      </c>
      <c r="AE26">
        <v>45</v>
      </c>
    </row>
    <row r="27" spans="1:66" x14ac:dyDescent="0.25">
      <c r="A27" s="73"/>
      <c r="B27" s="3" t="s">
        <v>100</v>
      </c>
      <c r="C27" s="21" t="s">
        <v>125</v>
      </c>
      <c r="D27">
        <v>46</v>
      </c>
      <c r="E27">
        <v>24</v>
      </c>
      <c r="F27">
        <v>52</v>
      </c>
      <c r="G27">
        <v>52</v>
      </c>
      <c r="H27">
        <v>54</v>
      </c>
      <c r="I27">
        <v>22</v>
      </c>
      <c r="J27">
        <v>41</v>
      </c>
      <c r="K27">
        <v>35</v>
      </c>
      <c r="L27">
        <v>36</v>
      </c>
      <c r="M27">
        <v>34</v>
      </c>
      <c r="N27">
        <v>44</v>
      </c>
      <c r="O27">
        <v>40</v>
      </c>
      <c r="P27" s="5">
        <f t="shared" si="7"/>
        <v>12.44186481199664</v>
      </c>
      <c r="Q27">
        <f t="shared" si="8"/>
        <v>52</v>
      </c>
      <c r="R27" s="2">
        <f t="shared" si="9"/>
        <v>44</v>
      </c>
      <c r="S27" s="27">
        <f t="shared" si="10"/>
        <v>-15.384615384615385</v>
      </c>
    </row>
    <row r="28" spans="1:66" x14ac:dyDescent="0.25">
      <c r="A28" s="73"/>
      <c r="B28" s="3" t="s">
        <v>100</v>
      </c>
      <c r="C28" s="21" t="s">
        <v>126</v>
      </c>
      <c r="D28">
        <v>17</v>
      </c>
      <c r="E28">
        <v>24</v>
      </c>
      <c r="F28">
        <v>28</v>
      </c>
      <c r="G28">
        <v>29</v>
      </c>
      <c r="H28">
        <v>23</v>
      </c>
      <c r="I28">
        <v>24</v>
      </c>
      <c r="J28">
        <v>22</v>
      </c>
      <c r="K28">
        <v>33</v>
      </c>
      <c r="L28">
        <v>36</v>
      </c>
      <c r="M28">
        <v>35</v>
      </c>
      <c r="N28">
        <v>35</v>
      </c>
      <c r="O28">
        <v>32</v>
      </c>
      <c r="P28" s="5">
        <f t="shared" si="7"/>
        <v>4.7644516998286432</v>
      </c>
      <c r="Q28">
        <f t="shared" si="8"/>
        <v>24</v>
      </c>
      <c r="R28" s="2">
        <f t="shared" si="9"/>
        <v>36</v>
      </c>
      <c r="S28" s="27">
        <f t="shared" si="10"/>
        <v>50</v>
      </c>
    </row>
    <row r="29" spans="1:66" x14ac:dyDescent="0.25">
      <c r="A29" s="73"/>
      <c r="B29" s="3" t="s">
        <v>100</v>
      </c>
      <c r="C29" s="21" t="s">
        <v>127</v>
      </c>
      <c r="D29">
        <v>32</v>
      </c>
      <c r="E29">
        <v>25</v>
      </c>
      <c r="F29">
        <v>23</v>
      </c>
      <c r="G29">
        <v>25</v>
      </c>
      <c r="H29">
        <v>23</v>
      </c>
      <c r="I29">
        <v>23</v>
      </c>
      <c r="J29">
        <v>39</v>
      </c>
      <c r="K29">
        <v>29</v>
      </c>
      <c r="L29">
        <v>21</v>
      </c>
      <c r="M29">
        <v>26</v>
      </c>
      <c r="N29">
        <v>27</v>
      </c>
      <c r="O29">
        <v>22</v>
      </c>
      <c r="P29" s="5">
        <f t="shared" si="7"/>
        <v>3.7148351242013358</v>
      </c>
      <c r="Q29">
        <f t="shared" ref="Q29" si="11">MEDIAN(D29:H29)</f>
        <v>25</v>
      </c>
      <c r="R29" s="2">
        <f t="shared" si="9"/>
        <v>39</v>
      </c>
      <c r="S29" s="27">
        <f t="shared" si="10"/>
        <v>56</v>
      </c>
    </row>
    <row r="30" spans="1:66" x14ac:dyDescent="0.25">
      <c r="A30" s="73"/>
      <c r="B30" s="3"/>
      <c r="P30" s="31" t="s">
        <v>110</v>
      </c>
      <c r="Q30" s="29">
        <f>AVERAGE(Q23:Q29)</f>
        <v>34.285714285714285</v>
      </c>
      <c r="R30" s="29">
        <f>AVERAGE(R23:R29)</f>
        <v>49.857142857142854</v>
      </c>
      <c r="S30" s="29">
        <f>AVERAGE(S23:S29)</f>
        <v>55.628823397646308</v>
      </c>
    </row>
    <row r="31" spans="1:66" x14ac:dyDescent="0.25">
      <c r="A31" s="73"/>
      <c r="B31" s="3"/>
      <c r="P31" s="31" t="s">
        <v>111</v>
      </c>
      <c r="Q31" s="29">
        <f>STDEVA(Q19:Q29)</f>
        <v>10.827654189070461</v>
      </c>
      <c r="R31" s="29">
        <f>STDEVA(R19:R29)</f>
        <v>10.636863125135008</v>
      </c>
      <c r="S31" s="29">
        <f>STDEVA(S23:S29)</f>
        <v>50.815634812529751</v>
      </c>
    </row>
    <row r="32" spans="1:66" ht="16.5" thickBot="1" x14ac:dyDescent="0.3">
      <c r="A32" s="73"/>
      <c r="B32" s="3"/>
      <c r="P32" s="31" t="s">
        <v>112</v>
      </c>
      <c r="Q32" s="32">
        <f>Q31/Q30</f>
        <v>0.31580658051455512</v>
      </c>
      <c r="R32" s="32">
        <f>R31/R30</f>
        <v>0.21334682485944143</v>
      </c>
      <c r="S32" s="32">
        <f>S31/S30</f>
        <v>0.91347671420783272</v>
      </c>
    </row>
    <row r="33" spans="1:66" x14ac:dyDescent="0.25">
      <c r="A33" s="4"/>
      <c r="B33" s="3"/>
      <c r="N33" s="9"/>
      <c r="O33" s="8" t="s">
        <v>113</v>
      </c>
      <c r="P33" s="10">
        <v>5</v>
      </c>
      <c r="Q33" s="15" t="s">
        <v>114</v>
      </c>
      <c r="R33" s="16"/>
      <c r="S33" s="16"/>
      <c r="T33" s="16"/>
      <c r="U33" s="17"/>
      <c r="AC33" s="9"/>
      <c r="AD33" s="9"/>
      <c r="AE33" s="8" t="s">
        <v>113</v>
      </c>
      <c r="AF33" s="10">
        <v>5</v>
      </c>
      <c r="AG33" s="15" t="s">
        <v>114</v>
      </c>
      <c r="AH33" s="16"/>
      <c r="AI33" s="11"/>
      <c r="AJ33" s="12"/>
      <c r="AR33" s="9"/>
      <c r="AS33" s="9"/>
      <c r="AT33" s="8" t="s">
        <v>113</v>
      </c>
      <c r="AU33" s="10">
        <v>5</v>
      </c>
      <c r="AV33" s="15" t="s">
        <v>114</v>
      </c>
      <c r="AW33" s="16"/>
      <c r="AX33" s="11"/>
      <c r="AY33" s="12"/>
      <c r="BG33" s="9"/>
      <c r="BH33" s="9"/>
      <c r="BI33" s="8" t="s">
        <v>113</v>
      </c>
      <c r="BJ33" s="10">
        <v>5</v>
      </c>
      <c r="BK33" s="15" t="s">
        <v>114</v>
      </c>
      <c r="BL33" s="16"/>
      <c r="BM33" s="11"/>
      <c r="BN33" s="12"/>
    </row>
    <row r="34" spans="1:66" ht="16.5" thickBot="1" x14ac:dyDescent="0.3">
      <c r="A34" s="4"/>
      <c r="B34" s="3"/>
      <c r="N34" s="9"/>
      <c r="O34" s="8" t="s">
        <v>115</v>
      </c>
      <c r="P34" s="10">
        <v>7</v>
      </c>
      <c r="Q34" s="18" t="s">
        <v>114</v>
      </c>
      <c r="R34" s="13"/>
      <c r="S34" s="13"/>
      <c r="T34" s="13"/>
      <c r="U34" s="14"/>
      <c r="AC34" s="9"/>
      <c r="AD34" s="9"/>
      <c r="AE34" s="8" t="s">
        <v>115</v>
      </c>
      <c r="AF34" s="10">
        <v>10</v>
      </c>
      <c r="AG34" s="18" t="s">
        <v>114</v>
      </c>
      <c r="AH34" s="13"/>
      <c r="AI34" s="13"/>
      <c r="AJ34" s="14"/>
      <c r="AR34" s="9"/>
      <c r="AS34" s="9"/>
      <c r="AT34" s="8" t="s">
        <v>115</v>
      </c>
      <c r="AU34" s="10">
        <v>10</v>
      </c>
      <c r="AV34" s="18" t="s">
        <v>114</v>
      </c>
      <c r="AW34" s="13"/>
      <c r="AX34" s="13"/>
      <c r="AY34" s="14"/>
      <c r="BG34" s="9"/>
      <c r="BH34" s="9"/>
      <c r="BI34" s="8" t="s">
        <v>115</v>
      </c>
      <c r="BJ34" s="10">
        <v>10</v>
      </c>
      <c r="BK34" s="18" t="s">
        <v>114</v>
      </c>
      <c r="BL34" s="13"/>
      <c r="BM34" s="13"/>
      <c r="BN34" s="14"/>
    </row>
    <row r="35" spans="1:66" x14ac:dyDescent="0.25">
      <c r="A35" s="4"/>
      <c r="B35" s="3"/>
      <c r="O35" s="2" t="s">
        <v>116</v>
      </c>
      <c r="P35" s="27">
        <f>SQRT(AVERAGE(P23:P32))</f>
        <v>2.4534684510496065</v>
      </c>
      <c r="AE35" s="2" t="s">
        <v>116</v>
      </c>
      <c r="AF35" s="5" t="e">
        <f>SQRT(AVERAGE(AF23:AF32))</f>
        <v>#DIV/0!</v>
      </c>
      <c r="AT35" s="2" t="s">
        <v>116</v>
      </c>
      <c r="AU35" s="5" t="e">
        <f>SQRT(AVERAGE(AU23:AU32))</f>
        <v>#DIV/0!</v>
      </c>
      <c r="BI35" s="2" t="s">
        <v>116</v>
      </c>
      <c r="BJ35" s="5" t="e">
        <f>SQRT(AVERAGE(BJ23:BJ32))</f>
        <v>#DIV/0!</v>
      </c>
    </row>
    <row r="36" spans="1:66" x14ac:dyDescent="0.25">
      <c r="A36" s="4"/>
      <c r="B36" s="3"/>
      <c r="O36" s="2" t="s">
        <v>117</v>
      </c>
      <c r="P36" s="27">
        <f>2.77*P35</f>
        <v>6.79610760940741</v>
      </c>
      <c r="AE36" s="2" t="s">
        <v>117</v>
      </c>
      <c r="AF36" s="5" t="e">
        <f>2.77*AF35</f>
        <v>#DIV/0!</v>
      </c>
      <c r="AT36" s="2" t="s">
        <v>117</v>
      </c>
      <c r="AU36" s="5" t="e">
        <f>2.77*AU35</f>
        <v>#DIV/0!</v>
      </c>
      <c r="BI36" s="2" t="s">
        <v>117</v>
      </c>
      <c r="BJ36" s="5" t="e">
        <f>2.77*BJ35</f>
        <v>#DIV/0!</v>
      </c>
    </row>
    <row r="37" spans="1:66" x14ac:dyDescent="0.25">
      <c r="A37" s="4"/>
      <c r="B37" s="3"/>
      <c r="O37" s="2" t="s">
        <v>118</v>
      </c>
      <c r="P37" s="27">
        <f>P36-(1.96*(P35/(SQRT(2*P34*(P33-1)))))</f>
        <v>6.1535049246913491</v>
      </c>
      <c r="AE37" s="2" t="s">
        <v>118</v>
      </c>
      <c r="AF37" s="5" t="e">
        <f>AF36-(1.96*(AF35/(SQRT(2*AF34*(AF33-1)))))</f>
        <v>#DIV/0!</v>
      </c>
      <c r="AT37" s="2" t="s">
        <v>118</v>
      </c>
      <c r="AU37" s="5" t="e">
        <f>AU36-(1.96*(AU35/(SQRT(2*AU34*(AU33-1)))))</f>
        <v>#DIV/0!</v>
      </c>
      <c r="BI37" s="2" t="s">
        <v>118</v>
      </c>
      <c r="BJ37" s="5" t="e">
        <f>BJ36-(1.96*(BJ35/(SQRT(2*BJ34*(BJ33-1)))))</f>
        <v>#DIV/0!</v>
      </c>
    </row>
    <row r="38" spans="1:66" x14ac:dyDescent="0.25">
      <c r="A38" s="4"/>
      <c r="B38" s="3"/>
      <c r="O38" s="2" t="s">
        <v>119</v>
      </c>
      <c r="P38" s="27">
        <f>P36+(1.96*(P35/(SQRT(2*P34*(P33-1)))))</f>
        <v>7.4387102941234708</v>
      </c>
      <c r="AE38" s="2" t="s">
        <v>119</v>
      </c>
      <c r="AF38" s="5" t="e">
        <f>AF36+(1.96*(AF35/(SQRT(2*AF34*(AF33-1)))))</f>
        <v>#DIV/0!</v>
      </c>
      <c r="AT38" s="2" t="s">
        <v>119</v>
      </c>
      <c r="AU38" s="5" t="e">
        <f>AU36+(1.96*(AU35/(SQRT(2*AU34*(AU33-1)))))</f>
        <v>#DIV/0!</v>
      </c>
      <c r="BI38" s="2" t="s">
        <v>119</v>
      </c>
      <c r="BJ38" s="5" t="e">
        <f>BJ36+(1.96*(BJ35/(SQRT(2*BJ34*(BJ33-1)))))</f>
        <v>#DIV/0!</v>
      </c>
    </row>
    <row r="39" spans="1:66" s="40" customFormat="1" x14ac:dyDescent="0.25">
      <c r="A39" s="41"/>
      <c r="B39" s="39"/>
      <c r="O39" s="42"/>
      <c r="P39" s="43"/>
      <c r="AE39" s="42"/>
      <c r="AF39" s="43"/>
      <c r="AT39" s="42"/>
      <c r="AU39" s="43"/>
      <c r="BI39" s="42"/>
      <c r="BJ39" s="43"/>
    </row>
    <row r="40" spans="1:66" x14ac:dyDescent="0.25">
      <c r="A40" s="68" t="s">
        <v>128</v>
      </c>
      <c r="B40" s="3" t="s">
        <v>100</v>
      </c>
      <c r="C40" s="21" t="s">
        <v>129</v>
      </c>
      <c r="D40">
        <v>37</v>
      </c>
      <c r="E40">
        <v>42</v>
      </c>
      <c r="F40">
        <v>41</v>
      </c>
      <c r="G40">
        <v>45</v>
      </c>
      <c r="H40">
        <v>41</v>
      </c>
      <c r="I40">
        <v>20</v>
      </c>
      <c r="J40">
        <v>55</v>
      </c>
      <c r="K40">
        <v>49</v>
      </c>
      <c r="L40">
        <v>50</v>
      </c>
      <c r="M40">
        <v>47</v>
      </c>
      <c r="P40" s="5">
        <f t="shared" ref="P40:P50" si="12">IFERROR(STDEVA(D40:H40),#N/A)</f>
        <v>2.8635642126552709</v>
      </c>
      <c r="Q40">
        <f t="shared" ref="Q40:Q50" si="13">MEDIAN(D40:H40)</f>
        <v>41</v>
      </c>
      <c r="R40" s="2">
        <f>MAX(J40:O40)</f>
        <v>55</v>
      </c>
      <c r="S40" s="27">
        <f>100*(R40-Q40)/Q40</f>
        <v>34.146341463414636</v>
      </c>
    </row>
    <row r="41" spans="1:66" x14ac:dyDescent="0.25">
      <c r="A41" s="68"/>
      <c r="B41" s="3" t="s">
        <v>100</v>
      </c>
      <c r="C41" s="21" t="s">
        <v>130</v>
      </c>
      <c r="D41">
        <v>25</v>
      </c>
      <c r="E41">
        <v>20</v>
      </c>
      <c r="F41">
        <v>18</v>
      </c>
      <c r="G41">
        <v>19</v>
      </c>
      <c r="H41">
        <v>21</v>
      </c>
      <c r="I41">
        <v>16</v>
      </c>
      <c r="J41">
        <v>54</v>
      </c>
      <c r="K41">
        <v>51</v>
      </c>
      <c r="L41">
        <v>39</v>
      </c>
      <c r="M41">
        <v>33</v>
      </c>
      <c r="P41" s="5">
        <f t="shared" si="12"/>
        <v>2.7018512172212508</v>
      </c>
      <c r="Q41">
        <f>MEDIAN(D41:H41)</f>
        <v>20</v>
      </c>
      <c r="R41" s="2">
        <f t="shared" ref="R41:R50" si="14">MAX(J41:O41)</f>
        <v>54</v>
      </c>
      <c r="S41" s="27">
        <f t="shared" ref="S41:S50" si="15">100*(R41-Q41)/Q41</f>
        <v>170</v>
      </c>
    </row>
    <row r="42" spans="1:66" x14ac:dyDescent="0.25">
      <c r="A42" s="68"/>
      <c r="B42" s="3" t="s">
        <v>100</v>
      </c>
      <c r="C42" s="21" t="s">
        <v>131</v>
      </c>
      <c r="D42">
        <v>27</v>
      </c>
      <c r="E42">
        <v>27</v>
      </c>
      <c r="F42">
        <v>26</v>
      </c>
      <c r="G42">
        <v>32</v>
      </c>
      <c r="H42">
        <v>32</v>
      </c>
      <c r="I42">
        <v>26</v>
      </c>
      <c r="J42">
        <v>49</v>
      </c>
      <c r="K42">
        <v>43</v>
      </c>
      <c r="L42">
        <v>39</v>
      </c>
      <c r="M42">
        <v>37</v>
      </c>
      <c r="N42">
        <v>31</v>
      </c>
      <c r="O42">
        <v>43</v>
      </c>
      <c r="P42" s="5">
        <f t="shared" si="12"/>
        <v>2.9495762407505248</v>
      </c>
      <c r="Q42">
        <f t="shared" si="13"/>
        <v>27</v>
      </c>
      <c r="R42" s="2">
        <f t="shared" si="14"/>
        <v>49</v>
      </c>
      <c r="S42" s="27">
        <f t="shared" si="15"/>
        <v>81.481481481481481</v>
      </c>
      <c r="T42">
        <v>28</v>
      </c>
      <c r="U42">
        <v>36</v>
      </c>
      <c r="V42">
        <v>38</v>
      </c>
      <c r="W42">
        <v>39</v>
      </c>
      <c r="X42">
        <v>44</v>
      </c>
      <c r="Y42">
        <v>20</v>
      </c>
      <c r="Z42">
        <v>49</v>
      </c>
      <c r="AA42">
        <v>45</v>
      </c>
      <c r="AB42">
        <v>45</v>
      </c>
      <c r="AC42">
        <v>41</v>
      </c>
      <c r="AD42">
        <v>38</v>
      </c>
      <c r="AE42">
        <v>38</v>
      </c>
    </row>
    <row r="43" spans="1:66" x14ac:dyDescent="0.25">
      <c r="A43" s="68"/>
      <c r="B43" s="3" t="s">
        <v>100</v>
      </c>
      <c r="C43" s="21" t="s">
        <v>132</v>
      </c>
      <c r="D43">
        <v>19</v>
      </c>
      <c r="E43">
        <v>18</v>
      </c>
      <c r="F43">
        <v>23</v>
      </c>
      <c r="G43">
        <v>24</v>
      </c>
      <c r="I43">
        <v>26</v>
      </c>
      <c r="J43">
        <v>41</v>
      </c>
      <c r="K43">
        <v>31</v>
      </c>
      <c r="L43">
        <v>28</v>
      </c>
      <c r="M43">
        <v>29</v>
      </c>
      <c r="N43">
        <v>34</v>
      </c>
      <c r="O43">
        <v>33</v>
      </c>
      <c r="P43" s="5">
        <f t="shared" si="12"/>
        <v>2.9439202887759488</v>
      </c>
      <c r="Q43">
        <f t="shared" si="13"/>
        <v>21</v>
      </c>
      <c r="R43" s="2">
        <f t="shared" si="14"/>
        <v>41</v>
      </c>
      <c r="S43" s="27">
        <f t="shared" si="15"/>
        <v>95.238095238095241</v>
      </c>
    </row>
    <row r="44" spans="1:66" x14ac:dyDescent="0.25">
      <c r="A44" s="68"/>
      <c r="B44" s="3" t="s">
        <v>100</v>
      </c>
      <c r="C44" s="21" t="s">
        <v>133</v>
      </c>
      <c r="D44">
        <v>29</v>
      </c>
      <c r="E44">
        <v>27</v>
      </c>
      <c r="F44">
        <v>24</v>
      </c>
      <c r="G44">
        <v>27</v>
      </c>
      <c r="H44">
        <v>31</v>
      </c>
      <c r="I44">
        <v>23</v>
      </c>
      <c r="J44">
        <v>42</v>
      </c>
      <c r="K44">
        <v>29</v>
      </c>
      <c r="L44">
        <v>27</v>
      </c>
      <c r="M44">
        <v>30</v>
      </c>
      <c r="N44">
        <v>30</v>
      </c>
      <c r="O44">
        <v>34</v>
      </c>
      <c r="P44" s="5">
        <f t="shared" si="12"/>
        <v>2.6076809620810595</v>
      </c>
      <c r="Q44">
        <f t="shared" si="13"/>
        <v>27</v>
      </c>
      <c r="R44" s="2">
        <f t="shared" si="14"/>
        <v>42</v>
      </c>
      <c r="S44" s="27">
        <f t="shared" si="15"/>
        <v>55.555555555555557</v>
      </c>
    </row>
    <row r="45" spans="1:66" x14ac:dyDescent="0.25">
      <c r="A45" s="68"/>
      <c r="B45" s="3" t="s">
        <v>100</v>
      </c>
      <c r="C45" s="21" t="s">
        <v>134</v>
      </c>
      <c r="D45">
        <v>24</v>
      </c>
      <c r="E45">
        <v>29</v>
      </c>
      <c r="F45">
        <v>27</v>
      </c>
      <c r="G45">
        <v>27</v>
      </c>
      <c r="H45">
        <v>26</v>
      </c>
      <c r="I45">
        <v>26</v>
      </c>
      <c r="J45">
        <v>53</v>
      </c>
      <c r="K45">
        <v>44</v>
      </c>
      <c r="L45">
        <v>36</v>
      </c>
      <c r="M45">
        <v>39</v>
      </c>
      <c r="N45">
        <v>40</v>
      </c>
      <c r="O45">
        <v>37</v>
      </c>
      <c r="P45" s="5">
        <f t="shared" si="12"/>
        <v>1.8165902124584949</v>
      </c>
      <c r="Q45">
        <f t="shared" si="13"/>
        <v>27</v>
      </c>
      <c r="R45" s="2">
        <f t="shared" si="14"/>
        <v>53</v>
      </c>
      <c r="S45" s="27">
        <f t="shared" si="15"/>
        <v>96.296296296296291</v>
      </c>
      <c r="T45">
        <v>23</v>
      </c>
      <c r="U45">
        <v>28</v>
      </c>
      <c r="V45">
        <v>25</v>
      </c>
      <c r="W45">
        <v>25</v>
      </c>
      <c r="X45">
        <v>23</v>
      </c>
      <c r="Y45">
        <v>19</v>
      </c>
      <c r="Z45">
        <v>54</v>
      </c>
      <c r="AA45">
        <v>46</v>
      </c>
      <c r="AB45">
        <v>37</v>
      </c>
      <c r="AC45">
        <v>34</v>
      </c>
      <c r="AD45">
        <v>32</v>
      </c>
      <c r="AE45">
        <v>33</v>
      </c>
      <c r="AI45">
        <v>38</v>
      </c>
      <c r="AJ45">
        <v>36</v>
      </c>
      <c r="AK45">
        <v>39</v>
      </c>
      <c r="AL45">
        <v>36</v>
      </c>
      <c r="AM45">
        <v>38</v>
      </c>
      <c r="AN45">
        <v>29</v>
      </c>
      <c r="AO45">
        <v>54</v>
      </c>
      <c r="AP45">
        <v>52</v>
      </c>
      <c r="AQ45">
        <v>50</v>
      </c>
      <c r="AR45">
        <v>49</v>
      </c>
      <c r="AS45">
        <v>45</v>
      </c>
      <c r="AT45">
        <v>47</v>
      </c>
      <c r="AX45">
        <v>35</v>
      </c>
      <c r="AY45">
        <v>40</v>
      </c>
      <c r="AZ45">
        <v>39</v>
      </c>
      <c r="BA45">
        <v>39</v>
      </c>
      <c r="BB45">
        <v>39</v>
      </c>
      <c r="BC45">
        <v>29</v>
      </c>
      <c r="BD45">
        <v>52</v>
      </c>
      <c r="BE45">
        <v>48</v>
      </c>
      <c r="BF45">
        <v>43</v>
      </c>
      <c r="BG45">
        <v>43</v>
      </c>
      <c r="BH45">
        <v>40</v>
      </c>
      <c r="BI45">
        <v>42</v>
      </c>
    </row>
    <row r="46" spans="1:66" x14ac:dyDescent="0.25">
      <c r="A46" s="68"/>
      <c r="B46" s="3" t="s">
        <v>100</v>
      </c>
      <c r="C46" s="21" t="s">
        <v>135</v>
      </c>
      <c r="D46">
        <v>27</v>
      </c>
      <c r="E46">
        <v>37</v>
      </c>
      <c r="F46">
        <v>41</v>
      </c>
      <c r="G46">
        <v>39</v>
      </c>
      <c r="H46">
        <v>42</v>
      </c>
      <c r="I46">
        <v>46</v>
      </c>
      <c r="J46">
        <v>31</v>
      </c>
      <c r="K46">
        <v>59</v>
      </c>
      <c r="L46">
        <v>52</v>
      </c>
      <c r="M46">
        <v>47</v>
      </c>
      <c r="N46">
        <v>51</v>
      </c>
      <c r="O46">
        <v>42</v>
      </c>
      <c r="P46" s="5">
        <f t="shared" si="12"/>
        <v>6.016643582596533</v>
      </c>
      <c r="Q46">
        <f t="shared" si="13"/>
        <v>39</v>
      </c>
      <c r="R46" s="2">
        <f t="shared" si="14"/>
        <v>59</v>
      </c>
      <c r="S46" s="27">
        <f t="shared" si="15"/>
        <v>51.282051282051285</v>
      </c>
    </row>
    <row r="47" spans="1:66" x14ac:dyDescent="0.25">
      <c r="A47" s="68"/>
      <c r="B47" s="3" t="s">
        <v>100</v>
      </c>
      <c r="C47" s="21" t="s">
        <v>136</v>
      </c>
      <c r="D47">
        <v>34</v>
      </c>
      <c r="E47">
        <v>37</v>
      </c>
      <c r="F47">
        <v>36</v>
      </c>
      <c r="G47">
        <v>40</v>
      </c>
      <c r="H47">
        <v>35</v>
      </c>
      <c r="I47">
        <v>30</v>
      </c>
      <c r="J47">
        <v>58</v>
      </c>
      <c r="K47">
        <v>37</v>
      </c>
      <c r="L47">
        <v>40</v>
      </c>
      <c r="M47">
        <v>33</v>
      </c>
      <c r="N47">
        <v>36</v>
      </c>
      <c r="O47">
        <v>35</v>
      </c>
      <c r="P47" s="5">
        <f t="shared" si="12"/>
        <v>2.3021728866442679</v>
      </c>
      <c r="Q47">
        <f t="shared" si="13"/>
        <v>36</v>
      </c>
      <c r="R47" s="2">
        <f t="shared" si="14"/>
        <v>58</v>
      </c>
      <c r="S47" s="27">
        <f t="shared" si="15"/>
        <v>61.111111111111114</v>
      </c>
    </row>
    <row r="48" spans="1:66" x14ac:dyDescent="0.25">
      <c r="A48" s="68"/>
      <c r="B48" s="3" t="s">
        <v>100</v>
      </c>
      <c r="C48" s="21" t="s">
        <v>137</v>
      </c>
      <c r="D48">
        <v>48</v>
      </c>
      <c r="E48">
        <v>50</v>
      </c>
      <c r="F48">
        <v>51</v>
      </c>
      <c r="G48">
        <v>51</v>
      </c>
      <c r="H48">
        <v>48</v>
      </c>
      <c r="I48">
        <v>19</v>
      </c>
      <c r="J48">
        <v>63</v>
      </c>
      <c r="K48">
        <v>60</v>
      </c>
      <c r="L48">
        <v>56</v>
      </c>
      <c r="M48">
        <v>54</v>
      </c>
      <c r="N48">
        <v>52</v>
      </c>
      <c r="O48">
        <v>52</v>
      </c>
      <c r="P48" s="5">
        <f t="shared" si="12"/>
        <v>1.51657508881031</v>
      </c>
      <c r="Q48">
        <f t="shared" si="13"/>
        <v>50</v>
      </c>
      <c r="R48" s="2">
        <f t="shared" si="14"/>
        <v>63</v>
      </c>
      <c r="S48" s="27">
        <f t="shared" si="15"/>
        <v>26</v>
      </c>
    </row>
    <row r="49" spans="1:66" x14ac:dyDescent="0.25">
      <c r="A49" s="68"/>
      <c r="B49" s="3" t="s">
        <v>100</v>
      </c>
      <c r="C49" s="21" t="s">
        <v>138</v>
      </c>
      <c r="D49">
        <v>30</v>
      </c>
      <c r="E49">
        <v>37</v>
      </c>
      <c r="F49">
        <v>50</v>
      </c>
      <c r="G49">
        <v>46</v>
      </c>
      <c r="H49">
        <v>44</v>
      </c>
      <c r="I49">
        <v>24</v>
      </c>
      <c r="J49">
        <v>63</v>
      </c>
      <c r="K49">
        <v>55</v>
      </c>
      <c r="L49">
        <v>53</v>
      </c>
      <c r="M49">
        <v>49</v>
      </c>
      <c r="N49">
        <v>51</v>
      </c>
      <c r="O49">
        <v>49</v>
      </c>
      <c r="P49" s="5">
        <f t="shared" si="12"/>
        <v>7.9246451024635913</v>
      </c>
      <c r="Q49">
        <f t="shared" si="13"/>
        <v>44</v>
      </c>
      <c r="R49" s="2">
        <f t="shared" si="14"/>
        <v>63</v>
      </c>
      <c r="S49" s="27">
        <f t="shared" si="15"/>
        <v>43.18181818181818</v>
      </c>
    </row>
    <row r="50" spans="1:66" x14ac:dyDescent="0.25">
      <c r="A50" s="68"/>
      <c r="B50" s="3" t="s">
        <v>100</v>
      </c>
      <c r="C50" s="21" t="s">
        <v>139</v>
      </c>
      <c r="D50">
        <v>34</v>
      </c>
      <c r="E50">
        <v>35</v>
      </c>
      <c r="F50">
        <v>45</v>
      </c>
      <c r="G50">
        <v>50</v>
      </c>
      <c r="H50">
        <v>48</v>
      </c>
      <c r="I50">
        <v>23</v>
      </c>
      <c r="J50">
        <v>67</v>
      </c>
      <c r="K50">
        <v>63</v>
      </c>
      <c r="L50">
        <v>57</v>
      </c>
      <c r="M50">
        <v>51</v>
      </c>
      <c r="N50">
        <v>47</v>
      </c>
      <c r="O50">
        <v>44</v>
      </c>
      <c r="P50" s="5">
        <f t="shared" si="12"/>
        <v>7.4363969770312952</v>
      </c>
      <c r="Q50">
        <f t="shared" si="13"/>
        <v>45</v>
      </c>
      <c r="R50" s="2">
        <f t="shared" si="14"/>
        <v>67</v>
      </c>
      <c r="S50" s="27">
        <f t="shared" si="15"/>
        <v>48.888888888888886</v>
      </c>
      <c r="T50">
        <v>43</v>
      </c>
      <c r="U50">
        <v>38</v>
      </c>
      <c r="V50">
        <v>47</v>
      </c>
      <c r="W50">
        <v>47</v>
      </c>
      <c r="X50">
        <v>50</v>
      </c>
      <c r="Y50">
        <v>28</v>
      </c>
      <c r="Z50">
        <v>70</v>
      </c>
      <c r="AA50">
        <v>64</v>
      </c>
      <c r="AB50">
        <v>58</v>
      </c>
      <c r="AC50">
        <v>55</v>
      </c>
      <c r="AD50">
        <v>54</v>
      </c>
      <c r="AE50">
        <v>52</v>
      </c>
      <c r="AI50">
        <v>38</v>
      </c>
      <c r="AJ50">
        <v>39</v>
      </c>
      <c r="AK50">
        <v>40</v>
      </c>
      <c r="AL50">
        <v>47</v>
      </c>
      <c r="AM50">
        <v>48</v>
      </c>
      <c r="AN50">
        <v>30</v>
      </c>
      <c r="AO50">
        <v>69</v>
      </c>
      <c r="AP50">
        <v>63</v>
      </c>
      <c r="AQ50">
        <v>59</v>
      </c>
      <c r="AR50">
        <v>55</v>
      </c>
      <c r="AS50">
        <v>52</v>
      </c>
      <c r="AT50">
        <v>46</v>
      </c>
      <c r="AX50">
        <v>33</v>
      </c>
      <c r="AY50">
        <v>35</v>
      </c>
      <c r="AZ50">
        <v>44</v>
      </c>
      <c r="BA50">
        <v>39</v>
      </c>
      <c r="BB50">
        <v>43</v>
      </c>
      <c r="BC50">
        <v>34</v>
      </c>
      <c r="BD50">
        <v>69</v>
      </c>
      <c r="BE50">
        <v>59</v>
      </c>
      <c r="BF50">
        <v>53</v>
      </c>
      <c r="BG50">
        <v>49</v>
      </c>
      <c r="BH50">
        <v>49</v>
      </c>
      <c r="BI50">
        <v>51</v>
      </c>
    </row>
    <row r="51" spans="1:66" x14ac:dyDescent="0.25">
      <c r="A51" s="68"/>
      <c r="B51" s="3"/>
      <c r="P51" s="31" t="s">
        <v>110</v>
      </c>
      <c r="Q51" s="29">
        <f>AVERAGE(Q40:Q50)</f>
        <v>34.272727272727273</v>
      </c>
      <c r="R51" s="29">
        <f>AVERAGE(R40:R50)</f>
        <v>54.909090909090907</v>
      </c>
      <c r="S51" s="29">
        <f>AVERAGE(S40:S50)</f>
        <v>69.380149045337504</v>
      </c>
    </row>
    <row r="52" spans="1:66" x14ac:dyDescent="0.25">
      <c r="A52" s="68"/>
      <c r="B52" s="3"/>
      <c r="P52" s="31" t="s">
        <v>111</v>
      </c>
      <c r="Q52" s="29">
        <f>STDEVA(Q40:Q50)</f>
        <v>10.32560806045735</v>
      </c>
      <c r="R52" s="29">
        <f>STDEVA(R40:R50)</f>
        <v>8.3839673836978168</v>
      </c>
      <c r="S52" s="29">
        <f>STDEVA(S40:S50)</f>
        <v>40.596119696253787</v>
      </c>
    </row>
    <row r="53" spans="1:66" ht="16.5" thickBot="1" x14ac:dyDescent="0.3">
      <c r="A53" s="64"/>
      <c r="B53" s="3"/>
      <c r="P53" s="31" t="s">
        <v>112</v>
      </c>
      <c r="Q53" s="32">
        <f>Q52/Q51</f>
        <v>0.30127768876666006</v>
      </c>
      <c r="R53" s="32">
        <f>R52/R51</f>
        <v>0.15268814771635097</v>
      </c>
      <c r="S53" s="32">
        <f>S52/S51</f>
        <v>0.58512586460034322</v>
      </c>
    </row>
    <row r="54" spans="1:66" x14ac:dyDescent="0.25">
      <c r="A54" s="4"/>
      <c r="B54" s="3"/>
      <c r="N54" s="9"/>
      <c r="O54" s="8" t="s">
        <v>113</v>
      </c>
      <c r="P54" s="10">
        <v>5</v>
      </c>
      <c r="Q54" s="15" t="s">
        <v>114</v>
      </c>
      <c r="R54" s="16"/>
      <c r="S54" s="16"/>
      <c r="T54" s="16"/>
      <c r="U54" s="17"/>
      <c r="AC54" s="9"/>
      <c r="AD54" s="9"/>
      <c r="AE54" s="8" t="s">
        <v>113</v>
      </c>
      <c r="AF54" s="10">
        <v>5</v>
      </c>
      <c r="AG54" s="15" t="s">
        <v>114</v>
      </c>
      <c r="AH54" s="16"/>
      <c r="AI54" s="11"/>
      <c r="AJ54" s="12"/>
      <c r="AR54" s="9"/>
      <c r="AS54" s="9"/>
      <c r="AT54" s="8" t="s">
        <v>113</v>
      </c>
      <c r="AU54" s="10">
        <v>5</v>
      </c>
      <c r="AV54" s="15" t="s">
        <v>114</v>
      </c>
      <c r="AW54" s="16"/>
      <c r="AX54" s="11"/>
      <c r="AY54" s="12"/>
      <c r="BG54" s="9"/>
      <c r="BH54" s="9"/>
      <c r="BI54" s="8" t="s">
        <v>113</v>
      </c>
      <c r="BJ54" s="10">
        <v>5</v>
      </c>
      <c r="BK54" s="15" t="s">
        <v>114</v>
      </c>
      <c r="BL54" s="16"/>
      <c r="BM54" s="11"/>
      <c r="BN54" s="12"/>
    </row>
    <row r="55" spans="1:66" ht="16.5" thickBot="1" x14ac:dyDescent="0.3">
      <c r="A55" s="4"/>
      <c r="B55" s="3"/>
      <c r="N55" s="9"/>
      <c r="O55" s="8" t="s">
        <v>115</v>
      </c>
      <c r="P55" s="10">
        <v>11</v>
      </c>
      <c r="Q55" s="18" t="s">
        <v>114</v>
      </c>
      <c r="R55" s="13"/>
      <c r="S55" s="13"/>
      <c r="T55" s="13"/>
      <c r="U55" s="14"/>
      <c r="AC55" s="9"/>
      <c r="AD55" s="9"/>
      <c r="AE55" s="8" t="s">
        <v>115</v>
      </c>
      <c r="AF55" s="10">
        <v>10</v>
      </c>
      <c r="AG55" s="18" t="s">
        <v>114</v>
      </c>
      <c r="AH55" s="13"/>
      <c r="AI55" s="13"/>
      <c r="AJ55" s="14"/>
      <c r="AR55" s="9"/>
      <c r="AS55" s="9"/>
      <c r="AT55" s="8" t="s">
        <v>115</v>
      </c>
      <c r="AU55" s="10">
        <v>10</v>
      </c>
      <c r="AV55" s="18" t="s">
        <v>114</v>
      </c>
      <c r="AW55" s="13"/>
      <c r="AX55" s="13"/>
      <c r="AY55" s="14"/>
      <c r="BG55" s="9"/>
      <c r="BH55" s="9"/>
      <c r="BI55" s="8" t="s">
        <v>115</v>
      </c>
      <c r="BJ55" s="10">
        <v>10</v>
      </c>
      <c r="BK55" s="18" t="s">
        <v>114</v>
      </c>
      <c r="BL55" s="13"/>
      <c r="BM55" s="13"/>
      <c r="BN55" s="14"/>
    </row>
    <row r="56" spans="1:66" x14ac:dyDescent="0.25">
      <c r="A56" s="4"/>
      <c r="B56" s="3"/>
      <c r="O56" s="2" t="s">
        <v>116</v>
      </c>
      <c r="P56" s="27">
        <f>SQRT(AVERAGE(P40:P53))</f>
        <v>1.9324881928720465</v>
      </c>
      <c r="AE56" s="2" t="s">
        <v>116</v>
      </c>
      <c r="AF56" s="5" t="e">
        <f>SQRT(AVERAGE(AF44:AF53))</f>
        <v>#DIV/0!</v>
      </c>
      <c r="AT56" s="2" t="s">
        <v>116</v>
      </c>
      <c r="AU56" s="5" t="e">
        <f>SQRT(AVERAGE(AU44:AU53))</f>
        <v>#DIV/0!</v>
      </c>
      <c r="BI56" s="2" t="s">
        <v>116</v>
      </c>
      <c r="BJ56" s="5" t="e">
        <f>SQRT(AVERAGE(BJ44:BJ53))</f>
        <v>#DIV/0!</v>
      </c>
    </row>
    <row r="57" spans="1:66" x14ac:dyDescent="0.25">
      <c r="A57" s="4"/>
      <c r="B57" s="3"/>
      <c r="O57" s="2" t="s">
        <v>117</v>
      </c>
      <c r="P57" s="27">
        <f>2.77*P56</f>
        <v>5.3529922942555688</v>
      </c>
      <c r="AE57" s="2" t="s">
        <v>117</v>
      </c>
      <c r="AF57" s="5" t="e">
        <f>2.77*AF56</f>
        <v>#DIV/0!</v>
      </c>
      <c r="AT57" s="2" t="s">
        <v>117</v>
      </c>
      <c r="AU57" s="5" t="e">
        <f>2.77*AU56</f>
        <v>#DIV/0!</v>
      </c>
      <c r="BI57" s="2" t="s">
        <v>117</v>
      </c>
      <c r="BJ57" s="5" t="e">
        <f>2.77*BJ56</f>
        <v>#DIV/0!</v>
      </c>
    </row>
    <row r="58" spans="1:66" x14ac:dyDescent="0.25">
      <c r="A58" s="4"/>
      <c r="B58" s="3"/>
      <c r="O58" s="2" t="s">
        <v>118</v>
      </c>
      <c r="P58" s="27">
        <f>P57-(1.96*(P56/(SQRT(2*P55*(P54-1)))))</f>
        <v>4.9492245845278706</v>
      </c>
      <c r="AE58" s="2" t="s">
        <v>118</v>
      </c>
      <c r="AF58" s="5" t="e">
        <f>AF57-(1.96*(AF56/(SQRT(2*AF55*(AF54-1)))))</f>
        <v>#DIV/0!</v>
      </c>
      <c r="AT58" s="2" t="s">
        <v>118</v>
      </c>
      <c r="AU58" s="5" t="e">
        <f>AU57-(1.96*(AU56/(SQRT(2*AU55*(AU54-1)))))</f>
        <v>#DIV/0!</v>
      </c>
      <c r="BI58" s="2" t="s">
        <v>118</v>
      </c>
      <c r="BJ58" s="5" t="e">
        <f>BJ57-(1.96*(BJ56/(SQRT(2*BJ55*(BJ54-1)))))</f>
        <v>#DIV/0!</v>
      </c>
    </row>
    <row r="59" spans="1:66" x14ac:dyDescent="0.25">
      <c r="A59" s="4"/>
      <c r="B59" s="3"/>
      <c r="O59" s="2" t="s">
        <v>119</v>
      </c>
      <c r="P59" s="27">
        <f>P57+(1.96*(P56/(SQRT(2*P55*(P54-1)))))</f>
        <v>5.7567600039832669</v>
      </c>
      <c r="AE59" s="2" t="s">
        <v>119</v>
      </c>
      <c r="AF59" s="5" t="e">
        <f>AF57+(1.96*(AF56/(SQRT(2*AF55*(AF54-1)))))</f>
        <v>#DIV/0!</v>
      </c>
      <c r="AT59" s="2" t="s">
        <v>119</v>
      </c>
      <c r="AU59" s="5" t="e">
        <f>AU57+(1.96*(AU56/(SQRT(2*AU55*(AU54-1)))))</f>
        <v>#DIV/0!</v>
      </c>
      <c r="BI59" s="2" t="s">
        <v>119</v>
      </c>
      <c r="BJ59" s="5" t="e">
        <f>BJ57+(1.96*(BJ56/(SQRT(2*BJ55*(BJ54-1)))))</f>
        <v>#DIV/0!</v>
      </c>
    </row>
    <row r="60" spans="1:66" s="40" customFormat="1" ht="11.1" customHeight="1" x14ac:dyDescent="0.25">
      <c r="A60" s="41"/>
      <c r="B60" s="39"/>
      <c r="O60" s="42"/>
      <c r="P60" s="43"/>
      <c r="AE60" s="42"/>
      <c r="AF60" s="43"/>
      <c r="AT60" s="42"/>
      <c r="AU60" s="43"/>
      <c r="BI60" s="42"/>
      <c r="BJ60" s="43"/>
    </row>
    <row r="61" spans="1:66" x14ac:dyDescent="0.25">
      <c r="A61" s="73" t="s">
        <v>140</v>
      </c>
      <c r="B61" s="3" t="s">
        <v>100</v>
      </c>
      <c r="C61" s="21" t="s">
        <v>141</v>
      </c>
      <c r="D61">
        <v>38</v>
      </c>
      <c r="E61">
        <v>35</v>
      </c>
      <c r="F61">
        <v>43</v>
      </c>
      <c r="G61">
        <v>42</v>
      </c>
      <c r="H61">
        <v>58</v>
      </c>
      <c r="I61">
        <v>30</v>
      </c>
      <c r="J61">
        <v>45</v>
      </c>
      <c r="K61">
        <v>67</v>
      </c>
      <c r="L61">
        <v>62</v>
      </c>
      <c r="M61">
        <v>57</v>
      </c>
      <c r="P61" s="5">
        <f t="shared" ref="P61:P70" si="16">IFERROR(STDEVA(D61:H61),#N/A)</f>
        <v>8.8713020464867398</v>
      </c>
      <c r="Q61" s="28">
        <f t="shared" ref="Q61:Q70" si="17">MEDIAN(D61:H61)</f>
        <v>42</v>
      </c>
      <c r="R61" s="2">
        <f t="shared" ref="R61:R70" si="18">MAX(J61:O61)</f>
        <v>67</v>
      </c>
      <c r="S61" s="27">
        <f>100*(R61-Q61)/Q61</f>
        <v>59.523809523809526</v>
      </c>
    </row>
    <row r="62" spans="1:66" x14ac:dyDescent="0.25">
      <c r="A62" s="73"/>
      <c r="B62" s="3" t="s">
        <v>100</v>
      </c>
      <c r="C62" s="21" t="s">
        <v>142</v>
      </c>
      <c r="D62">
        <v>31</v>
      </c>
      <c r="E62">
        <v>40</v>
      </c>
      <c r="F62">
        <v>29</v>
      </c>
      <c r="G62">
        <v>24</v>
      </c>
      <c r="H62">
        <v>26</v>
      </c>
      <c r="I62">
        <v>15</v>
      </c>
      <c r="J62">
        <v>58</v>
      </c>
      <c r="K62">
        <v>61</v>
      </c>
      <c r="L62">
        <v>62</v>
      </c>
      <c r="M62">
        <v>61</v>
      </c>
      <c r="P62" s="5">
        <f t="shared" si="16"/>
        <v>6.2048368229954285</v>
      </c>
      <c r="Q62" s="28">
        <f t="shared" si="17"/>
        <v>29</v>
      </c>
      <c r="R62" s="2">
        <f t="shared" si="18"/>
        <v>62</v>
      </c>
      <c r="S62" s="27">
        <f t="shared" ref="S62:S70" si="19">100*(R62-Q62)/Q62</f>
        <v>113.79310344827586</v>
      </c>
    </row>
    <row r="63" spans="1:66" x14ac:dyDescent="0.25">
      <c r="A63" s="73"/>
      <c r="B63" s="3" t="s">
        <v>100</v>
      </c>
      <c r="C63" s="21" t="s">
        <v>143</v>
      </c>
      <c r="D63">
        <v>34</v>
      </c>
      <c r="E63">
        <v>36</v>
      </c>
      <c r="F63">
        <v>36</v>
      </c>
      <c r="G63">
        <v>38</v>
      </c>
      <c r="H63">
        <v>38</v>
      </c>
      <c r="I63">
        <v>21</v>
      </c>
      <c r="J63">
        <v>55</v>
      </c>
      <c r="K63">
        <v>51</v>
      </c>
      <c r="L63">
        <v>43</v>
      </c>
      <c r="M63">
        <v>38</v>
      </c>
      <c r="P63" s="5">
        <f t="shared" si="16"/>
        <v>1.6733200530681511</v>
      </c>
      <c r="Q63" s="28">
        <f t="shared" si="17"/>
        <v>36</v>
      </c>
      <c r="R63" s="2">
        <f t="shared" si="18"/>
        <v>55</v>
      </c>
      <c r="S63" s="27">
        <f t="shared" si="19"/>
        <v>52.777777777777779</v>
      </c>
    </row>
    <row r="64" spans="1:66" x14ac:dyDescent="0.25">
      <c r="A64" s="73"/>
      <c r="B64" s="3" t="s">
        <v>100</v>
      </c>
      <c r="C64" s="21" t="s">
        <v>144</v>
      </c>
      <c r="D64">
        <v>46</v>
      </c>
      <c r="E64">
        <v>44</v>
      </c>
      <c r="F64">
        <v>42</v>
      </c>
      <c r="G64">
        <v>43</v>
      </c>
      <c r="H64">
        <v>28</v>
      </c>
      <c r="I64">
        <v>56</v>
      </c>
      <c r="J64">
        <v>50</v>
      </c>
      <c r="K64">
        <v>46</v>
      </c>
      <c r="L64">
        <v>43</v>
      </c>
      <c r="M64">
        <v>42</v>
      </c>
      <c r="N64">
        <v>42</v>
      </c>
      <c r="P64" s="5">
        <f t="shared" si="16"/>
        <v>7.1972216861786453</v>
      </c>
      <c r="Q64" s="28">
        <f t="shared" si="17"/>
        <v>43</v>
      </c>
      <c r="R64" s="2">
        <f t="shared" si="18"/>
        <v>50</v>
      </c>
      <c r="S64" s="27">
        <f t="shared" si="19"/>
        <v>16.279069767441861</v>
      </c>
    </row>
    <row r="65" spans="1:66" x14ac:dyDescent="0.25">
      <c r="A65" s="73"/>
      <c r="B65" s="3" t="s">
        <v>100</v>
      </c>
      <c r="C65" s="21" t="s">
        <v>145</v>
      </c>
      <c r="D65">
        <v>28</v>
      </c>
      <c r="E65">
        <v>26</v>
      </c>
      <c r="F65">
        <v>25</v>
      </c>
      <c r="G65">
        <v>23</v>
      </c>
      <c r="H65">
        <v>22</v>
      </c>
      <c r="I65">
        <v>20</v>
      </c>
      <c r="J65">
        <v>23</v>
      </c>
      <c r="K65">
        <v>33</v>
      </c>
      <c r="L65">
        <v>27</v>
      </c>
      <c r="M65">
        <v>21</v>
      </c>
      <c r="N65">
        <v>19</v>
      </c>
      <c r="O65">
        <v>18</v>
      </c>
      <c r="P65" s="5">
        <f t="shared" si="16"/>
        <v>2.3874672772626644</v>
      </c>
      <c r="Q65" s="28">
        <f t="shared" si="17"/>
        <v>25</v>
      </c>
      <c r="R65" s="2">
        <f t="shared" si="18"/>
        <v>33</v>
      </c>
      <c r="S65" s="27">
        <f t="shared" si="19"/>
        <v>32</v>
      </c>
      <c r="T65">
        <v>30</v>
      </c>
      <c r="U65">
        <v>26</v>
      </c>
      <c r="V65">
        <v>25</v>
      </c>
      <c r="W65">
        <v>28</v>
      </c>
      <c r="X65">
        <v>25</v>
      </c>
      <c r="Y65">
        <v>30</v>
      </c>
      <c r="Z65">
        <v>40</v>
      </c>
      <c r="AA65">
        <v>40</v>
      </c>
      <c r="AB65">
        <v>38</v>
      </c>
      <c r="AC65">
        <v>35</v>
      </c>
      <c r="AD65">
        <v>34</v>
      </c>
      <c r="AE65">
        <v>35</v>
      </c>
      <c r="AI65">
        <v>27</v>
      </c>
      <c r="AJ65">
        <v>23</v>
      </c>
      <c r="AK65">
        <v>27</v>
      </c>
      <c r="AL65">
        <v>38</v>
      </c>
      <c r="AM65">
        <v>34</v>
      </c>
      <c r="AN65">
        <v>22</v>
      </c>
      <c r="AO65">
        <v>47</v>
      </c>
      <c r="AP65">
        <v>46</v>
      </c>
      <c r="AQ65">
        <v>42</v>
      </c>
      <c r="AR65">
        <v>36</v>
      </c>
      <c r="AS65">
        <v>39</v>
      </c>
      <c r="AT65">
        <v>37</v>
      </c>
      <c r="AX65">
        <v>36</v>
      </c>
      <c r="AY65">
        <v>36</v>
      </c>
      <c r="AZ65">
        <v>39</v>
      </c>
      <c r="BA65">
        <v>42</v>
      </c>
      <c r="BB65">
        <v>40</v>
      </c>
      <c r="BC65">
        <v>36</v>
      </c>
      <c r="BD65">
        <v>48</v>
      </c>
      <c r="BE65">
        <v>48</v>
      </c>
      <c r="BF65">
        <v>47</v>
      </c>
      <c r="BG65">
        <v>45</v>
      </c>
      <c r="BH65">
        <v>43</v>
      </c>
      <c r="BI65">
        <v>42</v>
      </c>
    </row>
    <row r="66" spans="1:66" x14ac:dyDescent="0.25">
      <c r="A66" s="73"/>
      <c r="B66" s="3" t="s">
        <v>100</v>
      </c>
      <c r="C66" s="21" t="s">
        <v>146</v>
      </c>
      <c r="D66">
        <v>26</v>
      </c>
      <c r="E66">
        <v>28</v>
      </c>
      <c r="F66">
        <v>27</v>
      </c>
      <c r="G66">
        <v>29</v>
      </c>
      <c r="H66">
        <v>29</v>
      </c>
      <c r="I66">
        <v>21</v>
      </c>
      <c r="J66">
        <v>45</v>
      </c>
      <c r="K66">
        <v>34</v>
      </c>
      <c r="L66">
        <v>26</v>
      </c>
      <c r="M66">
        <v>32</v>
      </c>
      <c r="N66">
        <v>33</v>
      </c>
      <c r="O66">
        <v>31</v>
      </c>
      <c r="P66" s="5">
        <f t="shared" si="16"/>
        <v>1.3038404810405297</v>
      </c>
      <c r="Q66" s="28">
        <f t="shared" si="17"/>
        <v>28</v>
      </c>
      <c r="R66" s="2">
        <f t="shared" si="18"/>
        <v>45</v>
      </c>
      <c r="S66" s="27">
        <f t="shared" si="19"/>
        <v>60.714285714285715</v>
      </c>
    </row>
    <row r="67" spans="1:66" x14ac:dyDescent="0.25">
      <c r="A67" s="73"/>
      <c r="B67" s="3" t="s">
        <v>100</v>
      </c>
      <c r="C67" s="21" t="s">
        <v>147</v>
      </c>
      <c r="D67">
        <v>33</v>
      </c>
      <c r="E67">
        <v>27</v>
      </c>
      <c r="F67">
        <v>27</v>
      </c>
      <c r="G67">
        <v>26</v>
      </c>
      <c r="H67">
        <v>31</v>
      </c>
      <c r="I67">
        <v>30</v>
      </c>
      <c r="J67">
        <v>49</v>
      </c>
      <c r="K67">
        <v>40</v>
      </c>
      <c r="L67">
        <v>35</v>
      </c>
      <c r="M67">
        <v>36</v>
      </c>
      <c r="N67">
        <v>36</v>
      </c>
      <c r="O67">
        <v>37</v>
      </c>
      <c r="P67" s="5">
        <f t="shared" si="16"/>
        <v>3.03315017762062</v>
      </c>
      <c r="Q67" s="28">
        <f t="shared" si="17"/>
        <v>27</v>
      </c>
      <c r="R67" s="2">
        <f t="shared" si="18"/>
        <v>49</v>
      </c>
      <c r="S67" s="27">
        <f t="shared" si="19"/>
        <v>81.481481481481481</v>
      </c>
    </row>
    <row r="68" spans="1:66" x14ac:dyDescent="0.25">
      <c r="A68" s="73"/>
      <c r="B68" s="3" t="s">
        <v>100</v>
      </c>
      <c r="C68" s="21" t="s">
        <v>148</v>
      </c>
      <c r="D68">
        <v>23</v>
      </c>
      <c r="E68">
        <v>25</v>
      </c>
      <c r="F68">
        <v>32</v>
      </c>
      <c r="G68">
        <v>37</v>
      </c>
      <c r="H68">
        <v>30</v>
      </c>
      <c r="I68">
        <v>32</v>
      </c>
      <c r="J68">
        <v>52</v>
      </c>
      <c r="K68">
        <v>43</v>
      </c>
      <c r="L68">
        <v>35</v>
      </c>
      <c r="M68">
        <v>36</v>
      </c>
      <c r="N68">
        <v>33</v>
      </c>
      <c r="O68">
        <v>33</v>
      </c>
      <c r="P68" s="5">
        <f t="shared" si="16"/>
        <v>5.5946402922797418</v>
      </c>
      <c r="Q68" s="28">
        <f t="shared" si="17"/>
        <v>30</v>
      </c>
      <c r="R68" s="2">
        <f t="shared" si="18"/>
        <v>52</v>
      </c>
      <c r="S68" s="27">
        <f t="shared" si="19"/>
        <v>73.333333333333329</v>
      </c>
      <c r="T68">
        <v>29</v>
      </c>
      <c r="U68">
        <v>35</v>
      </c>
      <c r="V68">
        <v>33</v>
      </c>
      <c r="W68">
        <v>32</v>
      </c>
      <c r="X68">
        <v>32</v>
      </c>
      <c r="Y68">
        <v>32</v>
      </c>
      <c r="Z68">
        <v>54</v>
      </c>
      <c r="AA68">
        <v>43</v>
      </c>
      <c r="AB68">
        <v>44</v>
      </c>
      <c r="AC68">
        <v>41</v>
      </c>
      <c r="AD68">
        <v>40</v>
      </c>
      <c r="AE68">
        <v>40</v>
      </c>
      <c r="AI68">
        <v>36</v>
      </c>
      <c r="AJ68">
        <v>37</v>
      </c>
      <c r="AK68">
        <v>39</v>
      </c>
      <c r="AL68">
        <v>39</v>
      </c>
      <c r="AM68">
        <v>40</v>
      </c>
      <c r="AN68">
        <v>33</v>
      </c>
      <c r="AO68">
        <v>47</v>
      </c>
      <c r="AP68">
        <v>43</v>
      </c>
      <c r="AQ68">
        <v>42</v>
      </c>
      <c r="AR68">
        <v>42</v>
      </c>
      <c r="AS68">
        <v>42</v>
      </c>
      <c r="AT68">
        <v>41</v>
      </c>
      <c r="AX68">
        <v>28</v>
      </c>
      <c r="AY68">
        <v>31</v>
      </c>
      <c r="AZ68">
        <v>34</v>
      </c>
      <c r="BA68">
        <v>32</v>
      </c>
      <c r="BB68">
        <v>33</v>
      </c>
      <c r="BC68">
        <v>32</v>
      </c>
      <c r="BD68">
        <v>42</v>
      </c>
      <c r="BE68">
        <v>42</v>
      </c>
      <c r="BF68">
        <v>36</v>
      </c>
      <c r="BG68">
        <v>32</v>
      </c>
      <c r="BH68">
        <v>33</v>
      </c>
      <c r="BI68">
        <v>34</v>
      </c>
    </row>
    <row r="69" spans="1:66" x14ac:dyDescent="0.25">
      <c r="A69" s="73"/>
      <c r="B69" s="3" t="s">
        <v>100</v>
      </c>
      <c r="C69" s="21" t="s">
        <v>149</v>
      </c>
      <c r="D69">
        <v>33</v>
      </c>
      <c r="E69">
        <v>40</v>
      </c>
      <c r="F69">
        <v>40</v>
      </c>
      <c r="G69">
        <v>42</v>
      </c>
      <c r="H69">
        <v>42</v>
      </c>
      <c r="I69">
        <v>21</v>
      </c>
      <c r="J69">
        <v>52</v>
      </c>
      <c r="K69">
        <v>51</v>
      </c>
      <c r="L69">
        <v>49</v>
      </c>
      <c r="M69">
        <v>45</v>
      </c>
      <c r="N69">
        <v>40</v>
      </c>
      <c r="O69">
        <v>40</v>
      </c>
      <c r="P69" s="5">
        <f t="shared" si="16"/>
        <v>3.7148351242013415</v>
      </c>
      <c r="Q69" s="28">
        <f t="shared" si="17"/>
        <v>40</v>
      </c>
      <c r="R69" s="2">
        <f t="shared" si="18"/>
        <v>52</v>
      </c>
      <c r="S69" s="27">
        <f t="shared" si="19"/>
        <v>30</v>
      </c>
      <c r="T69">
        <v>32</v>
      </c>
      <c r="U69">
        <v>32</v>
      </c>
      <c r="V69">
        <v>36</v>
      </c>
      <c r="W69">
        <v>38</v>
      </c>
      <c r="X69">
        <v>34</v>
      </c>
      <c r="Y69">
        <v>19</v>
      </c>
      <c r="Z69">
        <v>53</v>
      </c>
      <c r="AA69">
        <v>51</v>
      </c>
      <c r="AB69">
        <v>47</v>
      </c>
      <c r="AC69">
        <v>41</v>
      </c>
      <c r="AD69">
        <v>40</v>
      </c>
      <c r="AE69">
        <v>36</v>
      </c>
    </row>
    <row r="70" spans="1:66" x14ac:dyDescent="0.25">
      <c r="A70" s="73"/>
      <c r="B70" s="3" t="s">
        <v>100</v>
      </c>
      <c r="C70" s="21" t="s">
        <v>150</v>
      </c>
      <c r="E70">
        <v>34</v>
      </c>
      <c r="F70">
        <v>36</v>
      </c>
      <c r="G70">
        <v>33</v>
      </c>
      <c r="H70">
        <v>31</v>
      </c>
      <c r="I70">
        <v>30</v>
      </c>
      <c r="J70">
        <v>44</v>
      </c>
      <c r="K70">
        <v>37</v>
      </c>
      <c r="L70">
        <v>36</v>
      </c>
      <c r="M70">
        <v>33</v>
      </c>
      <c r="N70">
        <v>36</v>
      </c>
      <c r="O70">
        <v>35</v>
      </c>
      <c r="P70" s="5">
        <f t="shared" si="16"/>
        <v>2.0816659994661326</v>
      </c>
      <c r="Q70" s="28">
        <f t="shared" si="17"/>
        <v>33.5</v>
      </c>
      <c r="R70" s="2">
        <f t="shared" si="18"/>
        <v>44</v>
      </c>
      <c r="S70" s="27">
        <f t="shared" si="19"/>
        <v>31.343283582089551</v>
      </c>
      <c r="T70">
        <v>31</v>
      </c>
      <c r="U70">
        <v>27</v>
      </c>
      <c r="V70">
        <v>27</v>
      </c>
      <c r="W70">
        <v>27</v>
      </c>
      <c r="X70">
        <v>26</v>
      </c>
      <c r="Y70">
        <v>34</v>
      </c>
      <c r="Z70">
        <v>36</v>
      </c>
      <c r="AA70">
        <v>41</v>
      </c>
      <c r="AB70">
        <v>35</v>
      </c>
      <c r="AC70">
        <v>34</v>
      </c>
      <c r="AD70">
        <v>35</v>
      </c>
      <c r="AE70">
        <v>34</v>
      </c>
      <c r="AI70">
        <v>33</v>
      </c>
      <c r="AJ70">
        <v>34</v>
      </c>
      <c r="AK70">
        <v>40</v>
      </c>
      <c r="AL70">
        <v>38</v>
      </c>
      <c r="AM70">
        <v>44</v>
      </c>
      <c r="AN70">
        <v>33</v>
      </c>
      <c r="AO70">
        <v>54</v>
      </c>
      <c r="AP70">
        <v>42</v>
      </c>
      <c r="AQ70">
        <v>39</v>
      </c>
      <c r="AR70">
        <v>37</v>
      </c>
      <c r="AS70">
        <v>35</v>
      </c>
      <c r="AT70">
        <v>34</v>
      </c>
      <c r="AX70">
        <v>32</v>
      </c>
      <c r="AY70">
        <v>36</v>
      </c>
      <c r="AZ70">
        <v>34</v>
      </c>
      <c r="BA70">
        <v>33</v>
      </c>
      <c r="BB70">
        <v>33</v>
      </c>
      <c r="BC70">
        <v>32</v>
      </c>
      <c r="BD70">
        <v>52</v>
      </c>
      <c r="BE70">
        <v>42</v>
      </c>
      <c r="BF70">
        <v>39</v>
      </c>
      <c r="BG70">
        <v>39</v>
      </c>
      <c r="BH70">
        <v>39</v>
      </c>
      <c r="BI70">
        <v>38</v>
      </c>
    </row>
    <row r="71" spans="1:66" x14ac:dyDescent="0.25">
      <c r="A71" s="73"/>
      <c r="B71" s="3" t="s">
        <v>100</v>
      </c>
      <c r="P71" s="31" t="s">
        <v>110</v>
      </c>
      <c r="Q71" s="29">
        <f>AVERAGE(Q61:Q70)</f>
        <v>33.35</v>
      </c>
      <c r="R71" s="29">
        <f>AVERAGE(R61:R70)</f>
        <v>50.9</v>
      </c>
      <c r="S71" s="29">
        <f>AVERAGE(S61:S70)</f>
        <v>55.1246144628495</v>
      </c>
    </row>
    <row r="72" spans="1:66" x14ac:dyDescent="0.25">
      <c r="A72" s="73"/>
      <c r="B72" s="3"/>
      <c r="P72" s="31" t="s">
        <v>111</v>
      </c>
      <c r="Q72" s="29">
        <f>STDEVA(Q61:Q70)</f>
        <v>6.5661167282411945</v>
      </c>
      <c r="R72" s="29">
        <f>STDEVA(R61:R70)</f>
        <v>9.4803891153147255</v>
      </c>
      <c r="S72" s="29">
        <f>STDEVA(S61:S70)</f>
        <v>29.372815385792283</v>
      </c>
    </row>
    <row r="73" spans="1:66" ht="16.5" thickBot="1" x14ac:dyDescent="0.3">
      <c r="A73" s="65"/>
      <c r="B73" s="3"/>
      <c r="P73" s="31" t="s">
        <v>112</v>
      </c>
      <c r="Q73" s="32">
        <f>Q72/Q71</f>
        <v>0.19688505931757705</v>
      </c>
      <c r="R73" s="32">
        <f>R72/R71</f>
        <v>0.18625518890598675</v>
      </c>
      <c r="S73" s="32">
        <f>S72/S71</f>
        <v>0.5328439150461125</v>
      </c>
    </row>
    <row r="74" spans="1:66" x14ac:dyDescent="0.25">
      <c r="A74" s="4"/>
      <c r="B74" s="3"/>
      <c r="N74" s="9"/>
      <c r="O74" s="8" t="s">
        <v>113</v>
      </c>
      <c r="P74" s="10">
        <v>5</v>
      </c>
      <c r="Q74" s="15" t="s">
        <v>114</v>
      </c>
      <c r="R74" s="16"/>
      <c r="S74" s="16"/>
      <c r="T74" s="16"/>
      <c r="U74" s="17"/>
      <c r="AC74" s="9"/>
      <c r="AD74" s="9"/>
      <c r="AE74" s="8" t="s">
        <v>113</v>
      </c>
      <c r="AF74" s="10">
        <v>5</v>
      </c>
      <c r="AG74" s="15" t="s">
        <v>114</v>
      </c>
      <c r="AH74" s="16"/>
      <c r="AI74" s="11"/>
      <c r="AJ74" s="12"/>
      <c r="AR74" s="9"/>
      <c r="AS74" s="9"/>
      <c r="AT74" s="8" t="s">
        <v>113</v>
      </c>
      <c r="AU74" s="10">
        <v>5</v>
      </c>
      <c r="AV74" s="15" t="s">
        <v>114</v>
      </c>
      <c r="AW74" s="16"/>
      <c r="AX74" s="11"/>
      <c r="AY74" s="12"/>
      <c r="BG74" s="9"/>
      <c r="BH74" s="9"/>
      <c r="BI74" s="8" t="s">
        <v>113</v>
      </c>
      <c r="BJ74" s="10">
        <v>5</v>
      </c>
      <c r="BK74" s="15" t="s">
        <v>114</v>
      </c>
      <c r="BL74" s="16"/>
      <c r="BM74" s="11"/>
      <c r="BN74" s="12"/>
    </row>
    <row r="75" spans="1:66" ht="16.5" thickBot="1" x14ac:dyDescent="0.3">
      <c r="A75" s="4"/>
      <c r="B75" s="3"/>
      <c r="N75" s="9"/>
      <c r="O75" s="8" t="s">
        <v>115</v>
      </c>
      <c r="P75" s="10">
        <v>10</v>
      </c>
      <c r="Q75" s="18" t="s">
        <v>114</v>
      </c>
      <c r="R75" s="13"/>
      <c r="S75" s="13"/>
      <c r="T75" s="13"/>
      <c r="U75" s="14"/>
      <c r="AC75" s="9"/>
      <c r="AD75" s="9"/>
      <c r="AE75" s="8" t="s">
        <v>115</v>
      </c>
      <c r="AF75" s="10">
        <v>10</v>
      </c>
      <c r="AG75" s="18" t="s">
        <v>114</v>
      </c>
      <c r="AH75" s="13"/>
      <c r="AI75" s="13"/>
      <c r="AJ75" s="14"/>
      <c r="AR75" s="9"/>
      <c r="AS75" s="9"/>
      <c r="AT75" s="8" t="s">
        <v>115</v>
      </c>
      <c r="AU75" s="10">
        <v>10</v>
      </c>
      <c r="AV75" s="18" t="s">
        <v>114</v>
      </c>
      <c r="AW75" s="13"/>
      <c r="AX75" s="13"/>
      <c r="AY75" s="14"/>
      <c r="BG75" s="9"/>
      <c r="BH75" s="9"/>
      <c r="BI75" s="8" t="s">
        <v>115</v>
      </c>
      <c r="BJ75" s="10">
        <v>10</v>
      </c>
      <c r="BK75" s="18" t="s">
        <v>114</v>
      </c>
      <c r="BL75" s="13"/>
      <c r="BM75" s="13"/>
      <c r="BN75" s="14"/>
    </row>
    <row r="76" spans="1:66" x14ac:dyDescent="0.25">
      <c r="A76" s="4"/>
      <c r="B76" s="3"/>
      <c r="O76" s="2" t="s">
        <v>116</v>
      </c>
      <c r="P76" s="5">
        <f>SQRT(AVERAGE(P61:P70))</f>
        <v>2.0509090657705911</v>
      </c>
      <c r="AE76" s="2" t="s">
        <v>116</v>
      </c>
      <c r="AF76" s="5" t="e">
        <f>SQRT(AVERAGE(AF61:AF72))</f>
        <v>#DIV/0!</v>
      </c>
      <c r="AT76" s="2" t="s">
        <v>116</v>
      </c>
      <c r="AU76" s="5" t="e">
        <f>SQRT(AVERAGE(AU61:AU72))</f>
        <v>#DIV/0!</v>
      </c>
      <c r="BI76" s="2" t="s">
        <v>116</v>
      </c>
      <c r="BJ76" s="5" t="e">
        <f>SQRT(AVERAGE(BJ61:BJ72))</f>
        <v>#DIV/0!</v>
      </c>
    </row>
    <row r="77" spans="1:66" x14ac:dyDescent="0.25">
      <c r="A77" s="4"/>
      <c r="B77" s="3"/>
      <c r="O77" s="2" t="s">
        <v>117</v>
      </c>
      <c r="P77" s="5">
        <f>2.77*P76</f>
        <v>5.6810181121845371</v>
      </c>
      <c r="AE77" s="2" t="s">
        <v>117</v>
      </c>
      <c r="AF77" s="5" t="e">
        <f>2.77*AF76</f>
        <v>#DIV/0!</v>
      </c>
      <c r="AT77" s="2" t="s">
        <v>117</v>
      </c>
      <c r="AU77" s="5" t="e">
        <f>2.77*AU76</f>
        <v>#DIV/0!</v>
      </c>
      <c r="BI77" s="2" t="s">
        <v>117</v>
      </c>
      <c r="BJ77" s="5" t="e">
        <f>2.77*BJ76</f>
        <v>#DIV/0!</v>
      </c>
    </row>
    <row r="78" spans="1:66" x14ac:dyDescent="0.25">
      <c r="A78" s="4"/>
      <c r="B78" s="3"/>
      <c r="O78" s="2" t="s">
        <v>118</v>
      </c>
      <c r="P78" s="5">
        <f>P77-(1.96*(P76/(SQRT(2*P75*(P74-1)))))</f>
        <v>5.2315928476846416</v>
      </c>
      <c r="AE78" s="2" t="s">
        <v>118</v>
      </c>
      <c r="AF78" s="5" t="e">
        <f>AF77-(1.96*(AF76/(SQRT(2*AF75*(AF74-1)))))</f>
        <v>#DIV/0!</v>
      </c>
      <c r="AT78" s="2" t="s">
        <v>118</v>
      </c>
      <c r="AU78" s="5" t="e">
        <f>AU77-(1.96*(AU76/(SQRT(2*AU75*(AU74-1)))))</f>
        <v>#DIV/0!</v>
      </c>
      <c r="BI78" s="2" t="s">
        <v>118</v>
      </c>
      <c r="BJ78" s="5" t="e">
        <f>BJ77-(1.96*(BJ76/(SQRT(2*BJ75*(BJ74-1)))))</f>
        <v>#DIV/0!</v>
      </c>
    </row>
    <row r="79" spans="1:66" x14ac:dyDescent="0.25">
      <c r="A79" s="4"/>
      <c r="B79" s="3"/>
      <c r="O79" s="2" t="s">
        <v>119</v>
      </c>
      <c r="P79" s="5">
        <f>P77+(1.96*(P76/(SQRT(2*P75*(P74-1)))))</f>
        <v>6.1304433766844326</v>
      </c>
      <c r="AE79" s="2" t="s">
        <v>119</v>
      </c>
      <c r="AF79" s="5" t="e">
        <f>AF77+(1.96*(AF76/(SQRT(2*AF75*(AF74-1)))))</f>
        <v>#DIV/0!</v>
      </c>
      <c r="AT79" s="2" t="s">
        <v>119</v>
      </c>
      <c r="AU79" s="5" t="e">
        <f>AU77+(1.96*(AU76/(SQRT(2*AU75*(AU74-1)))))</f>
        <v>#DIV/0!</v>
      </c>
      <c r="BI79" s="2" t="s">
        <v>119</v>
      </c>
      <c r="BJ79" s="5" t="e">
        <f>BJ77+(1.96*(BJ76/(SQRT(2*BJ75*(BJ74-1)))))</f>
        <v>#DIV/0!</v>
      </c>
    </row>
    <row r="80" spans="1:66" s="40" customFormat="1" x14ac:dyDescent="0.25">
      <c r="A80" s="41"/>
      <c r="B80" s="39"/>
      <c r="O80" s="42"/>
      <c r="P80" s="43"/>
      <c r="AE80" s="42"/>
      <c r="AF80" s="43"/>
      <c r="AT80" s="42"/>
      <c r="AU80" s="43"/>
      <c r="BI80" s="42"/>
      <c r="BJ80" s="43"/>
    </row>
    <row r="81" spans="1:66" x14ac:dyDescent="0.25">
      <c r="A81" s="68" t="s">
        <v>151</v>
      </c>
      <c r="B81" s="3" t="s">
        <v>100</v>
      </c>
      <c r="C81" s="21" t="s">
        <v>152</v>
      </c>
      <c r="D81">
        <v>37</v>
      </c>
      <c r="E81">
        <v>43</v>
      </c>
      <c r="F81">
        <v>50</v>
      </c>
      <c r="G81">
        <v>49</v>
      </c>
      <c r="H81">
        <v>52</v>
      </c>
      <c r="I81">
        <v>18</v>
      </c>
      <c r="J81">
        <v>56</v>
      </c>
      <c r="K81">
        <v>57</v>
      </c>
      <c r="L81">
        <v>51</v>
      </c>
      <c r="M81">
        <v>44</v>
      </c>
      <c r="P81" s="5">
        <f t="shared" ref="P81:P93" si="20">IFERROR(STDEVA(D81:H81),#N/A)</f>
        <v>6.1400325732034853</v>
      </c>
      <c r="Q81" s="28">
        <f t="shared" ref="Q81:Q93" si="21">MEDIAN(D81:H81)</f>
        <v>49</v>
      </c>
      <c r="R81" s="2">
        <f t="shared" ref="R81:R93" si="22">MAX(J81:O81)</f>
        <v>57</v>
      </c>
      <c r="S81" s="27">
        <f t="shared" ref="S81:S93" si="23">100*(R81-Q81)/Q81</f>
        <v>16.326530612244898</v>
      </c>
    </row>
    <row r="82" spans="1:66" x14ac:dyDescent="0.25">
      <c r="A82" s="68"/>
      <c r="B82" s="3" t="s">
        <v>100</v>
      </c>
      <c r="C82" s="21" t="s">
        <v>153</v>
      </c>
      <c r="D82">
        <v>26</v>
      </c>
      <c r="E82">
        <v>24</v>
      </c>
      <c r="F82">
        <v>30</v>
      </c>
      <c r="G82">
        <v>32</v>
      </c>
      <c r="H82">
        <v>31</v>
      </c>
      <c r="I82">
        <v>26</v>
      </c>
      <c r="J82">
        <v>28</v>
      </c>
      <c r="K82">
        <v>29</v>
      </c>
      <c r="L82">
        <v>28</v>
      </c>
      <c r="M82">
        <v>29</v>
      </c>
      <c r="N82">
        <v>29</v>
      </c>
      <c r="O82">
        <v>29</v>
      </c>
      <c r="P82" s="5">
        <f t="shared" si="20"/>
        <v>3.4351128074635269</v>
      </c>
      <c r="Q82" s="28">
        <f t="shared" si="21"/>
        <v>30</v>
      </c>
      <c r="R82" s="2">
        <f t="shared" si="22"/>
        <v>29</v>
      </c>
      <c r="S82" s="27">
        <f t="shared" si="23"/>
        <v>-3.3333333333333335</v>
      </c>
    </row>
    <row r="83" spans="1:66" x14ac:dyDescent="0.25">
      <c r="A83" s="68"/>
      <c r="B83" s="3" t="s">
        <v>100</v>
      </c>
      <c r="C83" s="21" t="s">
        <v>154</v>
      </c>
      <c r="D83">
        <v>23</v>
      </c>
      <c r="E83">
        <v>21</v>
      </c>
      <c r="F83">
        <v>24</v>
      </c>
      <c r="G83">
        <v>25</v>
      </c>
      <c r="H83">
        <v>21</v>
      </c>
      <c r="I83">
        <v>24</v>
      </c>
      <c r="J83">
        <v>42</v>
      </c>
      <c r="K83">
        <v>36</v>
      </c>
      <c r="L83">
        <v>30</v>
      </c>
      <c r="M83">
        <v>32</v>
      </c>
      <c r="N83">
        <v>31</v>
      </c>
      <c r="O83">
        <v>32</v>
      </c>
      <c r="P83" s="5">
        <f t="shared" si="20"/>
        <v>1.7888543819998317</v>
      </c>
      <c r="Q83" s="28">
        <f t="shared" si="21"/>
        <v>23</v>
      </c>
      <c r="R83" s="2">
        <f t="shared" si="22"/>
        <v>42</v>
      </c>
      <c r="S83" s="27">
        <f t="shared" si="23"/>
        <v>82.608695652173907</v>
      </c>
      <c r="T83">
        <v>23</v>
      </c>
      <c r="U83">
        <v>22</v>
      </c>
      <c r="V83">
        <v>25</v>
      </c>
      <c r="W83">
        <v>22</v>
      </c>
      <c r="X83">
        <v>26</v>
      </c>
      <c r="Y83">
        <v>20</v>
      </c>
      <c r="Z83">
        <v>22</v>
      </c>
      <c r="AA83">
        <v>40</v>
      </c>
      <c r="AB83">
        <v>27</v>
      </c>
      <c r="AC83">
        <v>29</v>
      </c>
      <c r="AD83">
        <v>25</v>
      </c>
      <c r="AE83">
        <v>28</v>
      </c>
      <c r="AI83">
        <v>35</v>
      </c>
      <c r="AJ83">
        <v>33</v>
      </c>
      <c r="AK83">
        <v>32</v>
      </c>
      <c r="AL83">
        <v>34</v>
      </c>
      <c r="AM83">
        <v>34</v>
      </c>
      <c r="AN83">
        <v>23</v>
      </c>
      <c r="AO83">
        <v>46</v>
      </c>
      <c r="AP83">
        <v>42</v>
      </c>
      <c r="AQ83">
        <v>40</v>
      </c>
      <c r="AR83">
        <v>36</v>
      </c>
      <c r="AS83">
        <v>34</v>
      </c>
      <c r="AT83">
        <v>35</v>
      </c>
      <c r="AX83">
        <v>30</v>
      </c>
      <c r="AY83">
        <v>25</v>
      </c>
      <c r="AZ83">
        <v>34</v>
      </c>
      <c r="BA83">
        <v>28</v>
      </c>
      <c r="BB83">
        <v>27</v>
      </c>
      <c r="BC83">
        <v>28</v>
      </c>
      <c r="BD83">
        <v>38</v>
      </c>
      <c r="BE83">
        <v>45</v>
      </c>
      <c r="BF83">
        <v>36</v>
      </c>
      <c r="BG83">
        <v>38</v>
      </c>
      <c r="BH83">
        <v>38</v>
      </c>
      <c r="BI83">
        <v>40</v>
      </c>
    </row>
    <row r="84" spans="1:66" x14ac:dyDescent="0.25">
      <c r="A84" s="68"/>
      <c r="B84" s="3" t="s">
        <v>100</v>
      </c>
      <c r="C84" s="21" t="s">
        <v>155</v>
      </c>
      <c r="D84">
        <v>27</v>
      </c>
      <c r="E84">
        <v>37</v>
      </c>
      <c r="F84">
        <v>34</v>
      </c>
      <c r="G84">
        <v>34</v>
      </c>
      <c r="H84">
        <v>36</v>
      </c>
      <c r="I84">
        <v>35</v>
      </c>
      <c r="J84">
        <v>67</v>
      </c>
      <c r="K84">
        <v>61</v>
      </c>
      <c r="L84">
        <v>58</v>
      </c>
      <c r="M84">
        <v>53</v>
      </c>
      <c r="N84">
        <v>50</v>
      </c>
      <c r="O84">
        <v>48</v>
      </c>
      <c r="P84" s="5">
        <f t="shared" si="20"/>
        <v>3.9115214431215835</v>
      </c>
      <c r="Q84" s="28">
        <f t="shared" si="21"/>
        <v>34</v>
      </c>
      <c r="R84" s="2">
        <f t="shared" si="22"/>
        <v>67</v>
      </c>
      <c r="S84" s="27">
        <f t="shared" si="23"/>
        <v>97.058823529411768</v>
      </c>
    </row>
    <row r="85" spans="1:66" x14ac:dyDescent="0.25">
      <c r="A85" s="68"/>
      <c r="B85" s="3" t="s">
        <v>100</v>
      </c>
      <c r="C85" s="21" t="s">
        <v>156</v>
      </c>
      <c r="D85">
        <v>28</v>
      </c>
      <c r="E85">
        <v>43</v>
      </c>
      <c r="F85">
        <v>47</v>
      </c>
      <c r="G85">
        <v>47</v>
      </c>
      <c r="H85">
        <v>45</v>
      </c>
      <c r="I85">
        <v>30</v>
      </c>
      <c r="J85">
        <v>62</v>
      </c>
      <c r="K85">
        <v>59</v>
      </c>
      <c r="L85">
        <v>56</v>
      </c>
      <c r="M85">
        <v>50</v>
      </c>
      <c r="N85">
        <v>51</v>
      </c>
      <c r="O85">
        <v>53</v>
      </c>
      <c r="P85" s="5">
        <f t="shared" si="20"/>
        <v>8</v>
      </c>
      <c r="Q85" s="28">
        <f t="shared" si="21"/>
        <v>45</v>
      </c>
      <c r="R85" s="2">
        <f t="shared" si="22"/>
        <v>62</v>
      </c>
      <c r="S85" s="27">
        <f t="shared" si="23"/>
        <v>37.777777777777779</v>
      </c>
    </row>
    <row r="86" spans="1:66" x14ac:dyDescent="0.25">
      <c r="A86" s="68"/>
      <c r="B86" s="3" t="s">
        <v>100</v>
      </c>
      <c r="C86" s="21" t="s">
        <v>157</v>
      </c>
      <c r="D86">
        <v>32</v>
      </c>
      <c r="E86">
        <v>35</v>
      </c>
      <c r="F86">
        <v>37</v>
      </c>
      <c r="G86">
        <v>37</v>
      </c>
      <c r="H86">
        <v>37</v>
      </c>
      <c r="I86">
        <v>26</v>
      </c>
      <c r="J86">
        <v>47</v>
      </c>
      <c r="K86">
        <v>53</v>
      </c>
      <c r="L86">
        <v>39</v>
      </c>
      <c r="M86">
        <v>40</v>
      </c>
      <c r="N86">
        <v>35</v>
      </c>
      <c r="O86">
        <v>44</v>
      </c>
      <c r="P86" s="5">
        <f t="shared" si="20"/>
        <v>2.1908902300206643</v>
      </c>
      <c r="Q86" s="28">
        <f t="shared" si="21"/>
        <v>37</v>
      </c>
      <c r="R86" s="2">
        <f t="shared" si="22"/>
        <v>53</v>
      </c>
      <c r="S86" s="27">
        <f t="shared" si="23"/>
        <v>43.243243243243242</v>
      </c>
    </row>
    <row r="87" spans="1:66" x14ac:dyDescent="0.25">
      <c r="A87" s="68"/>
      <c r="B87" s="3" t="s">
        <v>100</v>
      </c>
      <c r="C87" s="21" t="s">
        <v>158</v>
      </c>
      <c r="D87">
        <v>24</v>
      </c>
      <c r="E87">
        <v>36</v>
      </c>
      <c r="F87">
        <v>35</v>
      </c>
      <c r="G87">
        <v>37</v>
      </c>
      <c r="H87">
        <v>33</v>
      </c>
      <c r="I87">
        <v>32</v>
      </c>
      <c r="J87">
        <v>32</v>
      </c>
      <c r="K87">
        <v>59</v>
      </c>
      <c r="L87">
        <v>60</v>
      </c>
      <c r="M87">
        <v>49</v>
      </c>
      <c r="N87">
        <v>40</v>
      </c>
      <c r="O87">
        <v>39</v>
      </c>
      <c r="P87" s="5">
        <f t="shared" si="20"/>
        <v>5.2440442408507577</v>
      </c>
      <c r="Q87" s="28">
        <f t="shared" si="21"/>
        <v>35</v>
      </c>
      <c r="R87" s="2">
        <f t="shared" si="22"/>
        <v>60</v>
      </c>
      <c r="S87" s="27">
        <f t="shared" si="23"/>
        <v>71.428571428571431</v>
      </c>
    </row>
    <row r="88" spans="1:66" x14ac:dyDescent="0.25">
      <c r="A88" s="68"/>
      <c r="B88" s="3" t="s">
        <v>100</v>
      </c>
      <c r="C88" s="21" t="s">
        <v>159</v>
      </c>
      <c r="D88">
        <v>43</v>
      </c>
      <c r="E88">
        <v>47</v>
      </c>
      <c r="F88">
        <v>47</v>
      </c>
      <c r="G88">
        <v>47</v>
      </c>
      <c r="H88">
        <v>47</v>
      </c>
      <c r="I88">
        <v>38</v>
      </c>
      <c r="J88">
        <v>64</v>
      </c>
      <c r="K88">
        <v>62</v>
      </c>
      <c r="L88">
        <v>59</v>
      </c>
      <c r="M88">
        <v>54</v>
      </c>
      <c r="N88">
        <v>52</v>
      </c>
      <c r="O88">
        <v>49</v>
      </c>
      <c r="P88" s="5">
        <f t="shared" si="20"/>
        <v>1.7888543819998317</v>
      </c>
      <c r="Q88" s="28">
        <f t="shared" si="21"/>
        <v>47</v>
      </c>
      <c r="R88" s="2">
        <f t="shared" si="22"/>
        <v>64</v>
      </c>
      <c r="S88" s="27">
        <f t="shared" si="23"/>
        <v>36.170212765957444</v>
      </c>
    </row>
    <row r="89" spans="1:66" x14ac:dyDescent="0.25">
      <c r="A89" s="68"/>
      <c r="B89" s="3" t="s">
        <v>100</v>
      </c>
      <c r="C89" s="21" t="s">
        <v>160</v>
      </c>
      <c r="D89">
        <v>16</v>
      </c>
      <c r="E89">
        <v>20</v>
      </c>
      <c r="F89">
        <v>21</v>
      </c>
      <c r="G89">
        <v>19</v>
      </c>
      <c r="H89">
        <v>17</v>
      </c>
      <c r="I89">
        <v>28</v>
      </c>
      <c r="J89">
        <v>33</v>
      </c>
      <c r="K89">
        <v>35</v>
      </c>
      <c r="L89">
        <v>34</v>
      </c>
      <c r="M89">
        <v>35</v>
      </c>
      <c r="N89">
        <v>33</v>
      </c>
      <c r="O89">
        <v>35</v>
      </c>
      <c r="P89" s="5">
        <f t="shared" si="20"/>
        <v>2.0736441353327719</v>
      </c>
      <c r="Q89" s="28">
        <f t="shared" si="21"/>
        <v>19</v>
      </c>
      <c r="R89" s="2">
        <f t="shared" si="22"/>
        <v>35</v>
      </c>
      <c r="S89" s="27">
        <f t="shared" si="23"/>
        <v>84.21052631578948</v>
      </c>
    </row>
    <row r="90" spans="1:66" x14ac:dyDescent="0.25">
      <c r="A90" s="68"/>
      <c r="B90" s="3" t="s">
        <v>100</v>
      </c>
      <c r="C90" s="21" t="s">
        <v>161</v>
      </c>
      <c r="D90">
        <v>63</v>
      </c>
      <c r="E90">
        <v>66</v>
      </c>
      <c r="F90">
        <v>65</v>
      </c>
      <c r="G90">
        <v>64</v>
      </c>
      <c r="H90">
        <v>63</v>
      </c>
      <c r="I90">
        <v>41</v>
      </c>
      <c r="J90">
        <v>46</v>
      </c>
      <c r="K90">
        <v>65</v>
      </c>
      <c r="L90">
        <v>62</v>
      </c>
      <c r="M90">
        <v>57</v>
      </c>
      <c r="N90">
        <v>55</v>
      </c>
      <c r="O90">
        <v>52</v>
      </c>
      <c r="P90" s="5">
        <f t="shared" si="20"/>
        <v>1.3038404810405297</v>
      </c>
      <c r="Q90" s="28">
        <f t="shared" si="21"/>
        <v>64</v>
      </c>
      <c r="R90" s="2">
        <f t="shared" si="22"/>
        <v>65</v>
      </c>
      <c r="S90" s="27">
        <f t="shared" si="23"/>
        <v>1.5625</v>
      </c>
    </row>
    <row r="91" spans="1:66" x14ac:dyDescent="0.25">
      <c r="A91" s="68"/>
      <c r="B91" s="3" t="s">
        <v>100</v>
      </c>
      <c r="C91" s="21" t="s">
        <v>162</v>
      </c>
      <c r="D91">
        <v>30</v>
      </c>
      <c r="E91">
        <v>29</v>
      </c>
      <c r="F91">
        <v>31</v>
      </c>
      <c r="G91">
        <v>36</v>
      </c>
      <c r="H91">
        <v>33</v>
      </c>
      <c r="I91">
        <v>30</v>
      </c>
      <c r="J91">
        <v>50</v>
      </c>
      <c r="K91">
        <v>42</v>
      </c>
      <c r="L91">
        <v>38</v>
      </c>
      <c r="M91">
        <v>38</v>
      </c>
      <c r="N91">
        <v>39</v>
      </c>
      <c r="O91">
        <v>39</v>
      </c>
      <c r="P91" s="5">
        <f t="shared" si="20"/>
        <v>2.7748873851023212</v>
      </c>
      <c r="Q91" s="28">
        <f t="shared" si="21"/>
        <v>31</v>
      </c>
      <c r="R91" s="2">
        <f t="shared" si="22"/>
        <v>50</v>
      </c>
      <c r="S91" s="27">
        <f t="shared" si="23"/>
        <v>61.29032258064516</v>
      </c>
    </row>
    <row r="92" spans="1:66" ht="16.5" thickBot="1" x14ac:dyDescent="0.3">
      <c r="A92" s="68"/>
      <c r="B92" s="3" t="s">
        <v>100</v>
      </c>
      <c r="C92" s="21" t="s">
        <v>163</v>
      </c>
      <c r="D92">
        <v>41</v>
      </c>
      <c r="E92">
        <v>41</v>
      </c>
      <c r="F92">
        <v>51</v>
      </c>
      <c r="G92">
        <v>50</v>
      </c>
      <c r="H92">
        <v>40</v>
      </c>
      <c r="I92">
        <v>30</v>
      </c>
      <c r="J92">
        <v>38</v>
      </c>
      <c r="K92">
        <v>68</v>
      </c>
      <c r="L92">
        <v>63</v>
      </c>
      <c r="M92">
        <v>52</v>
      </c>
      <c r="N92">
        <v>50</v>
      </c>
      <c r="O92">
        <v>50</v>
      </c>
      <c r="P92" s="5">
        <f t="shared" si="20"/>
        <v>5.4129474410897602</v>
      </c>
      <c r="Q92" s="28">
        <f t="shared" si="21"/>
        <v>41</v>
      </c>
      <c r="R92" s="2">
        <f t="shared" si="22"/>
        <v>68</v>
      </c>
      <c r="S92" s="27">
        <f t="shared" si="23"/>
        <v>65.853658536585371</v>
      </c>
      <c r="T92">
        <v>45</v>
      </c>
      <c r="U92">
        <v>36</v>
      </c>
      <c r="V92">
        <v>31</v>
      </c>
      <c r="W92">
        <v>56</v>
      </c>
      <c r="X92">
        <v>53</v>
      </c>
      <c r="Y92">
        <v>50</v>
      </c>
      <c r="Z92">
        <v>37</v>
      </c>
      <c r="AA92">
        <v>54</v>
      </c>
      <c r="AB92">
        <v>55</v>
      </c>
      <c r="AC92">
        <v>57</v>
      </c>
      <c r="AD92">
        <v>54</v>
      </c>
      <c r="AE92">
        <v>50</v>
      </c>
      <c r="AI92">
        <v>42</v>
      </c>
      <c r="AJ92">
        <v>47</v>
      </c>
      <c r="AK92">
        <v>55</v>
      </c>
      <c r="AL92">
        <v>55</v>
      </c>
      <c r="AM92">
        <v>52</v>
      </c>
      <c r="AN92">
        <v>34</v>
      </c>
      <c r="AO92">
        <v>67</v>
      </c>
      <c r="AP92">
        <v>58</v>
      </c>
      <c r="AQ92">
        <v>56</v>
      </c>
      <c r="AR92">
        <v>58</v>
      </c>
      <c r="AS92">
        <v>53</v>
      </c>
      <c r="AT92">
        <v>55</v>
      </c>
      <c r="AX92">
        <v>38</v>
      </c>
      <c r="AY92">
        <v>45</v>
      </c>
      <c r="AZ92">
        <v>50</v>
      </c>
      <c r="BA92">
        <v>45</v>
      </c>
      <c r="BB92">
        <v>47</v>
      </c>
      <c r="BC92">
        <v>37</v>
      </c>
      <c r="BD92">
        <v>61</v>
      </c>
      <c r="BE92">
        <v>52</v>
      </c>
      <c r="BF92">
        <v>48</v>
      </c>
      <c r="BG92">
        <v>47</v>
      </c>
      <c r="BH92">
        <v>45</v>
      </c>
      <c r="BI92">
        <v>40</v>
      </c>
    </row>
    <row r="93" spans="1:66" x14ac:dyDescent="0.25">
      <c r="A93" s="4"/>
      <c r="B93" s="3" t="s">
        <v>100</v>
      </c>
      <c r="C93" s="21" t="s">
        <v>164</v>
      </c>
      <c r="D93">
        <v>30</v>
      </c>
      <c r="E93">
        <v>38</v>
      </c>
      <c r="F93">
        <v>45</v>
      </c>
      <c r="G93">
        <v>46</v>
      </c>
      <c r="H93">
        <v>39</v>
      </c>
      <c r="I93">
        <v>32</v>
      </c>
      <c r="J93">
        <v>65</v>
      </c>
      <c r="K93">
        <v>67</v>
      </c>
      <c r="L93">
        <v>66</v>
      </c>
      <c r="M93">
        <v>63</v>
      </c>
      <c r="N93">
        <v>58</v>
      </c>
      <c r="O93">
        <v>54</v>
      </c>
      <c r="P93" s="5">
        <f t="shared" si="20"/>
        <v>6.4265076052238479</v>
      </c>
      <c r="Q93" s="28">
        <f t="shared" si="21"/>
        <v>39</v>
      </c>
      <c r="R93" s="2">
        <f t="shared" si="22"/>
        <v>67</v>
      </c>
      <c r="S93" s="27">
        <f t="shared" si="23"/>
        <v>71.794871794871796</v>
      </c>
      <c r="T93">
        <v>33</v>
      </c>
      <c r="U93">
        <v>39</v>
      </c>
      <c r="V93">
        <v>40</v>
      </c>
      <c r="W93">
        <v>42</v>
      </c>
      <c r="X93">
        <v>43</v>
      </c>
      <c r="Y93">
        <v>23</v>
      </c>
      <c r="Z93">
        <v>65</v>
      </c>
      <c r="AA93">
        <v>41</v>
      </c>
      <c r="AB93">
        <v>41</v>
      </c>
      <c r="AC93">
        <v>35</v>
      </c>
      <c r="AD93">
        <v>34</v>
      </c>
      <c r="AE93">
        <v>40</v>
      </c>
      <c r="AG93" s="15" t="s">
        <v>114</v>
      </c>
      <c r="AH93" s="16"/>
      <c r="AI93" s="11"/>
      <c r="AJ93" s="12"/>
      <c r="AS93" s="9"/>
      <c r="AT93" s="8" t="s">
        <v>113</v>
      </c>
      <c r="AU93" s="10">
        <v>5</v>
      </c>
      <c r="AV93" s="15" t="s">
        <v>114</v>
      </c>
      <c r="AW93" s="16"/>
      <c r="AX93" s="11"/>
      <c r="AY93" s="12"/>
      <c r="BG93" s="9"/>
      <c r="BH93" s="9"/>
      <c r="BI93" s="8" t="s">
        <v>113</v>
      </c>
      <c r="BJ93" s="10">
        <v>5</v>
      </c>
      <c r="BK93" s="15" t="s">
        <v>114</v>
      </c>
      <c r="BL93" s="16"/>
      <c r="BM93" s="11"/>
      <c r="BN93" s="12"/>
    </row>
    <row r="94" spans="1:66" x14ac:dyDescent="0.25">
      <c r="A94" s="4"/>
      <c r="B94" s="3"/>
      <c r="C94" s="21"/>
      <c r="P94" s="31" t="s">
        <v>110</v>
      </c>
      <c r="Q94" s="29">
        <f>AVERAGE(Q81:Q93)</f>
        <v>38</v>
      </c>
      <c r="R94" s="29">
        <f>AVERAGE(R81:R93)</f>
        <v>55.307692307692307</v>
      </c>
      <c r="S94" s="29">
        <f>AVERAGE(S81:S93)</f>
        <v>51.230184684918385</v>
      </c>
      <c r="AG94" s="44"/>
      <c r="AH94" s="45"/>
      <c r="AJ94" s="46"/>
      <c r="AS94" s="9"/>
      <c r="AT94" s="8"/>
      <c r="AU94" s="10"/>
      <c r="AV94" s="44"/>
      <c r="AW94" s="45"/>
      <c r="AY94" s="46"/>
      <c r="BG94" s="9"/>
      <c r="BH94" s="9"/>
      <c r="BI94" s="8"/>
      <c r="BJ94" s="10"/>
      <c r="BK94" s="44"/>
      <c r="BL94" s="45"/>
      <c r="BN94" s="46"/>
    </row>
    <row r="95" spans="1:66" x14ac:dyDescent="0.25">
      <c r="A95" s="4"/>
      <c r="B95" s="3"/>
      <c r="C95" s="21"/>
      <c r="P95" s="31" t="s">
        <v>111</v>
      </c>
      <c r="Q95" s="29">
        <f>STDEVA(Q81:Q93)</f>
        <v>11.76860229593982</v>
      </c>
      <c r="R95" s="29">
        <f>STDEVA(R81:R93)</f>
        <v>12.873646306729476</v>
      </c>
      <c r="S95" s="29">
        <f>STDEVA(S81:S93)</f>
        <v>32.213343864770501</v>
      </c>
      <c r="AG95" s="44"/>
      <c r="AH95" s="45"/>
      <c r="AJ95" s="46"/>
      <c r="AS95" s="9"/>
      <c r="AT95" s="8"/>
      <c r="AU95" s="10"/>
      <c r="AV95" s="44"/>
      <c r="AW95" s="45"/>
      <c r="AY95" s="46"/>
      <c r="BG95" s="9"/>
      <c r="BH95" s="9"/>
      <c r="BI95" s="8"/>
      <c r="BJ95" s="10"/>
      <c r="BK95" s="44"/>
      <c r="BL95" s="45"/>
      <c r="BN95" s="46"/>
    </row>
    <row r="96" spans="1:66" ht="16.5" thickBot="1" x14ac:dyDescent="0.3">
      <c r="A96" s="4"/>
      <c r="B96" s="3"/>
      <c r="C96" s="21"/>
      <c r="P96" s="31" t="s">
        <v>112</v>
      </c>
      <c r="Q96" s="32">
        <f>Q95/Q94</f>
        <v>0.30970006041946896</v>
      </c>
      <c r="R96" s="32">
        <f>R95/R94</f>
        <v>0.23276411959316162</v>
      </c>
      <c r="S96" s="32">
        <f>S95/S94</f>
        <v>0.62879616895571655</v>
      </c>
      <c r="AG96" s="44"/>
      <c r="AH96" s="45"/>
      <c r="AJ96" s="46"/>
      <c r="AS96" s="9"/>
      <c r="AT96" s="8"/>
      <c r="AU96" s="10"/>
      <c r="AV96" s="44"/>
      <c r="AW96" s="45"/>
      <c r="AY96" s="46"/>
      <c r="BG96" s="9"/>
      <c r="BH96" s="9"/>
      <c r="BI96" s="8"/>
      <c r="BJ96" s="10"/>
      <c r="BK96" s="44"/>
      <c r="BL96" s="45"/>
      <c r="BN96" s="46"/>
    </row>
    <row r="97" spans="1:66" ht="16.5" thickBot="1" x14ac:dyDescent="0.3">
      <c r="A97" s="4"/>
      <c r="B97" s="3"/>
      <c r="N97" s="9"/>
      <c r="O97" s="8" t="s">
        <v>113</v>
      </c>
      <c r="P97" s="10">
        <v>5</v>
      </c>
      <c r="Q97" s="15" t="s">
        <v>114</v>
      </c>
      <c r="R97" s="16"/>
      <c r="S97" s="16"/>
      <c r="T97" s="16"/>
      <c r="U97" s="17"/>
      <c r="AC97" s="9"/>
      <c r="AD97" s="9"/>
      <c r="AE97" s="8" t="s">
        <v>113</v>
      </c>
      <c r="AF97" s="10">
        <v>5</v>
      </c>
      <c r="AG97" s="18" t="s">
        <v>114</v>
      </c>
      <c r="AH97" s="13"/>
      <c r="AI97" s="13"/>
      <c r="AJ97" s="14"/>
      <c r="AS97" s="9"/>
      <c r="AT97" s="8" t="s">
        <v>115</v>
      </c>
      <c r="AU97" s="10">
        <v>10</v>
      </c>
      <c r="AV97" s="18" t="s">
        <v>114</v>
      </c>
      <c r="AW97" s="13"/>
      <c r="AX97" s="13"/>
      <c r="AY97" s="14"/>
      <c r="BG97" s="9"/>
      <c r="BH97" s="9"/>
      <c r="BI97" s="8" t="s">
        <v>115</v>
      </c>
      <c r="BJ97" s="10">
        <v>10</v>
      </c>
      <c r="BK97" s="18" t="s">
        <v>114</v>
      </c>
      <c r="BL97" s="13"/>
      <c r="BM97" s="13"/>
      <c r="BN97" s="14"/>
    </row>
    <row r="98" spans="1:66" x14ac:dyDescent="0.25">
      <c r="A98" s="4"/>
      <c r="B98" s="3"/>
      <c r="N98" s="9"/>
      <c r="O98" s="8" t="s">
        <v>115</v>
      </c>
      <c r="P98" s="10">
        <v>13</v>
      </c>
      <c r="Q98" s="18" t="s">
        <v>114</v>
      </c>
      <c r="R98" s="13"/>
      <c r="S98" s="13"/>
      <c r="T98" s="13"/>
      <c r="U98" s="14"/>
      <c r="AC98" s="9"/>
      <c r="AD98" s="9"/>
      <c r="AE98" s="8" t="s">
        <v>115</v>
      </c>
      <c r="AF98" s="10">
        <v>10</v>
      </c>
      <c r="AT98" s="2" t="s">
        <v>116</v>
      </c>
      <c r="AU98" s="5" t="e">
        <f>SQRT(AVERAGE(AU81:AU92))</f>
        <v>#DIV/0!</v>
      </c>
      <c r="BI98" s="2" t="s">
        <v>116</v>
      </c>
      <c r="BJ98" s="5" t="e">
        <f>SQRT(AVERAGE(BJ81:BJ92))</f>
        <v>#DIV/0!</v>
      </c>
    </row>
    <row r="99" spans="1:66" x14ac:dyDescent="0.25">
      <c r="A99" s="4"/>
      <c r="B99" s="3"/>
      <c r="O99" s="2" t="s">
        <v>116</v>
      </c>
      <c r="P99" s="27">
        <f>SQRT(AVERAGE(P81:P93))</f>
        <v>1.970769804815619</v>
      </c>
      <c r="AE99" s="2" t="s">
        <v>116</v>
      </c>
      <c r="AF99" s="5" t="e">
        <f>SQRT(AVERAGE(AF81:AF92))</f>
        <v>#DIV/0!</v>
      </c>
      <c r="AT99" s="2" t="s">
        <v>117</v>
      </c>
      <c r="AU99" s="5" t="e">
        <f>2.77*AU98</f>
        <v>#DIV/0!</v>
      </c>
      <c r="BI99" s="2" t="s">
        <v>117</v>
      </c>
      <c r="BJ99" s="5" t="e">
        <f>2.77*BJ98</f>
        <v>#DIV/0!</v>
      </c>
    </row>
    <row r="100" spans="1:66" x14ac:dyDescent="0.25">
      <c r="A100" s="4"/>
      <c r="B100" s="3"/>
      <c r="O100" s="2" t="s">
        <v>117</v>
      </c>
      <c r="P100" s="27">
        <f>2.77*P99</f>
        <v>5.4590323593392647</v>
      </c>
      <c r="AE100" s="2" t="s">
        <v>117</v>
      </c>
      <c r="AF100" s="5" t="e">
        <f>2.77*AF99</f>
        <v>#DIV/0!</v>
      </c>
      <c r="AT100" s="2" t="s">
        <v>118</v>
      </c>
      <c r="AU100" s="5" t="e">
        <f>AU99-(1.96*(AU98/(SQRT(2*AU97*(AU93-1)))))</f>
        <v>#DIV/0!</v>
      </c>
      <c r="BI100" s="2" t="s">
        <v>118</v>
      </c>
      <c r="BJ100" s="5" t="e">
        <f>BJ99-(1.96*(BJ98/(SQRT(2*BJ97*(BJ93-1)))))</f>
        <v>#DIV/0!</v>
      </c>
    </row>
    <row r="101" spans="1:66" x14ac:dyDescent="0.25">
      <c r="A101" s="4"/>
      <c r="B101" s="3"/>
      <c r="O101" s="2" t="s">
        <v>118</v>
      </c>
      <c r="P101" s="27">
        <f>P100-(1.96*(P99/(SQRT(2*P98*(P97-1)))))</f>
        <v>5.080262597119142</v>
      </c>
      <c r="AE101" s="2" t="s">
        <v>118</v>
      </c>
      <c r="AF101" s="5" t="e">
        <f>AF100-(1.96*(AF99/(SQRT(2*AF98*(AF97-1)))))</f>
        <v>#DIV/0!</v>
      </c>
      <c r="AT101" s="2" t="s">
        <v>119</v>
      </c>
      <c r="AU101" s="5" t="e">
        <f>AU99+(1.96*(AU98/(SQRT(2*AU97*(AU93-1)))))</f>
        <v>#DIV/0!</v>
      </c>
      <c r="BI101" s="2" t="s">
        <v>119</v>
      </c>
      <c r="BJ101" s="5" t="e">
        <f>BJ99+(1.96*(BJ98/(SQRT(2*BJ97*(BJ93-1)))))</f>
        <v>#DIV/0!</v>
      </c>
    </row>
    <row r="102" spans="1:66" x14ac:dyDescent="0.25">
      <c r="A102" s="4"/>
      <c r="B102" s="3"/>
      <c r="O102" s="2" t="s">
        <v>119</v>
      </c>
      <c r="P102" s="27">
        <f>P100+(1.96*(P99/(SQRT(2*P98*(P97-1)))))</f>
        <v>5.8378021215593874</v>
      </c>
      <c r="AE102" s="2" t="s">
        <v>119</v>
      </c>
      <c r="AF102" s="5" t="e">
        <f>AF100+(1.96*(AF99/(SQRT(2*AF98*(AF97-1)))))</f>
        <v>#DIV/0!</v>
      </c>
      <c r="AT102" s="2" t="s">
        <v>119</v>
      </c>
      <c r="AU102" s="5" t="e">
        <f>AU100+(1.96*(AU99/(SQRT(2*AU98*(AU97-1)))))</f>
        <v>#DIV/0!</v>
      </c>
      <c r="BI102" s="2" t="s">
        <v>119</v>
      </c>
      <c r="BJ102" s="5" t="e">
        <f>BJ100+(1.96*(BJ99/(SQRT(2*BJ98*(BJ97-1)))))</f>
        <v>#DIV/0!</v>
      </c>
    </row>
    <row r="103" spans="1:66" s="40" customFormat="1" x14ac:dyDescent="0.25">
      <c r="A103" s="41"/>
      <c r="B103" s="39"/>
      <c r="O103" s="42"/>
      <c r="P103" s="47"/>
      <c r="AE103" s="42"/>
      <c r="AF103" s="43"/>
      <c r="AT103" s="42"/>
      <c r="AU103" s="43"/>
      <c r="BI103" s="42"/>
      <c r="BJ103" s="43"/>
    </row>
    <row r="104" spans="1:66" x14ac:dyDescent="0.25">
      <c r="A104" s="67" t="s">
        <v>165</v>
      </c>
    </row>
    <row r="105" spans="1:66" x14ac:dyDescent="0.25">
      <c r="A105" s="67"/>
    </row>
    <row r="106" spans="1:66" x14ac:dyDescent="0.25">
      <c r="A106" s="67"/>
      <c r="B106" s="3" t="s">
        <v>166</v>
      </c>
      <c r="C106" t="s">
        <v>167</v>
      </c>
      <c r="D106">
        <v>26</v>
      </c>
      <c r="E106">
        <v>26</v>
      </c>
      <c r="F106">
        <v>25</v>
      </c>
      <c r="G106">
        <v>26</v>
      </c>
      <c r="H106">
        <v>23</v>
      </c>
      <c r="I106">
        <v>36</v>
      </c>
      <c r="J106">
        <v>35</v>
      </c>
      <c r="K106">
        <v>34</v>
      </c>
      <c r="L106">
        <v>36</v>
      </c>
      <c r="M106">
        <v>41</v>
      </c>
      <c r="N106">
        <v>40</v>
      </c>
      <c r="O106">
        <v>36</v>
      </c>
      <c r="P106" s="5">
        <f t="shared" ref="P106:P112" si="24">IFERROR(STDEVA(D106:H106),#N/A)</f>
        <v>1.3038404810405297</v>
      </c>
      <c r="Q106" s="28">
        <f t="shared" ref="Q106:Q112" si="25">MEDIAN(D106:H106)</f>
        <v>26</v>
      </c>
      <c r="R106" s="2">
        <f t="shared" ref="R106:R112" si="26">MAX(J106:O106)</f>
        <v>41</v>
      </c>
      <c r="S106" s="27">
        <f t="shared" ref="S106:S112" si="27">100*(R106-Q106)/Q106</f>
        <v>57.692307692307693</v>
      </c>
      <c r="T106">
        <v>29</v>
      </c>
      <c r="U106">
        <v>33</v>
      </c>
      <c r="V106">
        <v>32</v>
      </c>
      <c r="W106">
        <v>31</v>
      </c>
      <c r="X106">
        <v>31</v>
      </c>
      <c r="Y106">
        <v>26</v>
      </c>
      <c r="Z106">
        <v>44</v>
      </c>
      <c r="AA106">
        <v>41</v>
      </c>
      <c r="AB106">
        <v>40</v>
      </c>
      <c r="AC106">
        <v>35</v>
      </c>
      <c r="AD106">
        <v>32</v>
      </c>
      <c r="AE106">
        <v>30</v>
      </c>
      <c r="AI106">
        <v>16</v>
      </c>
      <c r="AJ106">
        <v>18</v>
      </c>
      <c r="AK106">
        <v>25</v>
      </c>
      <c r="AL106">
        <v>30</v>
      </c>
      <c r="AM106">
        <v>20</v>
      </c>
      <c r="AN106">
        <v>24</v>
      </c>
      <c r="AO106">
        <v>27</v>
      </c>
      <c r="AP106">
        <v>26</v>
      </c>
      <c r="AQ106">
        <v>28</v>
      </c>
      <c r="AR106">
        <v>22</v>
      </c>
      <c r="AS106">
        <v>25</v>
      </c>
      <c r="AT106">
        <v>24</v>
      </c>
      <c r="AX106">
        <v>28</v>
      </c>
      <c r="AY106">
        <v>26</v>
      </c>
      <c r="AZ106">
        <v>27</v>
      </c>
      <c r="BA106">
        <v>26</v>
      </c>
      <c r="BB106">
        <v>27</v>
      </c>
      <c r="BC106">
        <v>31</v>
      </c>
      <c r="BD106">
        <v>30</v>
      </c>
      <c r="BE106">
        <v>29</v>
      </c>
      <c r="BF106">
        <v>29</v>
      </c>
      <c r="BG106">
        <v>28</v>
      </c>
      <c r="BH106">
        <v>28</v>
      </c>
      <c r="BI106">
        <v>27</v>
      </c>
    </row>
    <row r="107" spans="1:66" x14ac:dyDescent="0.25">
      <c r="A107" s="67"/>
      <c r="B107" s="3" t="s">
        <v>166</v>
      </c>
      <c r="C107" t="s">
        <v>168</v>
      </c>
      <c r="E107">
        <v>28</v>
      </c>
      <c r="F107">
        <v>30</v>
      </c>
      <c r="G107">
        <v>30</v>
      </c>
      <c r="H107">
        <v>26</v>
      </c>
      <c r="I107">
        <v>23</v>
      </c>
      <c r="J107">
        <v>24</v>
      </c>
      <c r="K107">
        <v>18</v>
      </c>
      <c r="L107">
        <v>18</v>
      </c>
      <c r="M107">
        <v>18</v>
      </c>
      <c r="N107">
        <v>20</v>
      </c>
      <c r="O107">
        <v>24</v>
      </c>
      <c r="P107" s="5">
        <f t="shared" si="24"/>
        <v>1.9148542155126762</v>
      </c>
      <c r="Q107" s="28">
        <f t="shared" si="25"/>
        <v>29</v>
      </c>
      <c r="R107" s="2">
        <f t="shared" si="26"/>
        <v>24</v>
      </c>
      <c r="S107" s="27">
        <f t="shared" si="27"/>
        <v>-17.241379310344829</v>
      </c>
      <c r="T107">
        <v>24</v>
      </c>
      <c r="U107">
        <v>25</v>
      </c>
      <c r="V107">
        <v>27</v>
      </c>
      <c r="W107">
        <v>27</v>
      </c>
      <c r="X107">
        <v>26</v>
      </c>
      <c r="Y107">
        <v>27</v>
      </c>
      <c r="Z107">
        <v>24</v>
      </c>
      <c r="AA107">
        <v>44</v>
      </c>
      <c r="AB107">
        <v>40</v>
      </c>
      <c r="AC107">
        <v>34</v>
      </c>
      <c r="AD107">
        <v>30</v>
      </c>
      <c r="AE107">
        <v>21</v>
      </c>
      <c r="AI107">
        <v>17</v>
      </c>
      <c r="AJ107">
        <v>16</v>
      </c>
      <c r="AK107">
        <v>17</v>
      </c>
      <c r="AL107">
        <v>20</v>
      </c>
      <c r="AM107">
        <v>17</v>
      </c>
      <c r="AN107">
        <v>18</v>
      </c>
      <c r="AO107">
        <v>28</v>
      </c>
      <c r="AP107">
        <v>32</v>
      </c>
      <c r="AQ107">
        <v>25</v>
      </c>
      <c r="AR107">
        <v>27</v>
      </c>
      <c r="AS107">
        <v>30</v>
      </c>
      <c r="AT107">
        <v>26</v>
      </c>
      <c r="AX107">
        <v>29</v>
      </c>
      <c r="AY107">
        <v>36</v>
      </c>
      <c r="AZ107">
        <v>27</v>
      </c>
      <c r="BA107">
        <v>29</v>
      </c>
      <c r="BB107">
        <v>23</v>
      </c>
      <c r="BC107">
        <v>18</v>
      </c>
      <c r="BD107">
        <v>49</v>
      </c>
      <c r="BE107">
        <v>46</v>
      </c>
      <c r="BF107">
        <v>38</v>
      </c>
      <c r="BG107">
        <v>34</v>
      </c>
      <c r="BH107">
        <v>25</v>
      </c>
      <c r="BI107">
        <v>29</v>
      </c>
    </row>
    <row r="108" spans="1:66" x14ac:dyDescent="0.25">
      <c r="A108" s="67"/>
      <c r="B108" s="3" t="s">
        <v>166</v>
      </c>
      <c r="C108" t="s">
        <v>169</v>
      </c>
      <c r="D108">
        <v>23</v>
      </c>
      <c r="E108">
        <v>29</v>
      </c>
      <c r="F108">
        <v>29</v>
      </c>
      <c r="G108">
        <v>24</v>
      </c>
      <c r="H108">
        <v>17</v>
      </c>
      <c r="I108">
        <v>16</v>
      </c>
      <c r="J108">
        <v>42</v>
      </c>
      <c r="K108">
        <v>41</v>
      </c>
      <c r="L108">
        <v>36</v>
      </c>
      <c r="M108">
        <v>34</v>
      </c>
      <c r="N108">
        <v>31</v>
      </c>
      <c r="O108">
        <v>27</v>
      </c>
      <c r="P108" s="5">
        <f t="shared" si="24"/>
        <v>4.9799598391954882</v>
      </c>
      <c r="Q108" s="28">
        <f t="shared" si="25"/>
        <v>24</v>
      </c>
      <c r="R108" s="2">
        <f t="shared" si="26"/>
        <v>42</v>
      </c>
      <c r="S108" s="27">
        <f t="shared" si="27"/>
        <v>75</v>
      </c>
      <c r="T108">
        <v>25</v>
      </c>
      <c r="U108">
        <v>29</v>
      </c>
      <c r="V108">
        <v>26</v>
      </c>
      <c r="W108">
        <v>40</v>
      </c>
      <c r="X108">
        <v>40</v>
      </c>
      <c r="Y108">
        <v>18</v>
      </c>
      <c r="Z108">
        <v>47</v>
      </c>
      <c r="AA108">
        <v>50</v>
      </c>
      <c r="AB108">
        <v>48</v>
      </c>
      <c r="AC108">
        <v>46</v>
      </c>
      <c r="AD108">
        <v>46</v>
      </c>
      <c r="AE108">
        <v>44</v>
      </c>
      <c r="AI108">
        <v>24</v>
      </c>
      <c r="AJ108">
        <v>32</v>
      </c>
      <c r="AK108">
        <v>33</v>
      </c>
      <c r="AL108">
        <v>32</v>
      </c>
      <c r="AM108">
        <v>24</v>
      </c>
      <c r="AN108">
        <v>16</v>
      </c>
      <c r="AO108">
        <v>42</v>
      </c>
      <c r="AP108">
        <v>43</v>
      </c>
      <c r="AQ108">
        <v>34</v>
      </c>
      <c r="AR108">
        <v>29</v>
      </c>
      <c r="AS108">
        <v>24</v>
      </c>
      <c r="AT108">
        <v>20</v>
      </c>
      <c r="AX108">
        <v>24</v>
      </c>
      <c r="AY108">
        <v>25</v>
      </c>
      <c r="AZ108">
        <v>23</v>
      </c>
      <c r="BA108">
        <v>26</v>
      </c>
      <c r="BB108">
        <v>26</v>
      </c>
      <c r="BC108">
        <v>21</v>
      </c>
      <c r="BD108">
        <v>38</v>
      </c>
      <c r="BE108">
        <v>32</v>
      </c>
      <c r="BF108">
        <v>31</v>
      </c>
      <c r="BG108">
        <v>26</v>
      </c>
      <c r="BH108">
        <v>26</v>
      </c>
      <c r="BI108">
        <v>23</v>
      </c>
    </row>
    <row r="109" spans="1:66" x14ac:dyDescent="0.25">
      <c r="A109" s="67"/>
      <c r="B109" s="3" t="s">
        <v>166</v>
      </c>
      <c r="C109" t="s">
        <v>170</v>
      </c>
      <c r="D109">
        <v>22</v>
      </c>
      <c r="E109">
        <v>24</v>
      </c>
      <c r="F109">
        <v>23</v>
      </c>
      <c r="G109">
        <v>23</v>
      </c>
      <c r="H109">
        <v>24</v>
      </c>
      <c r="I109">
        <v>28</v>
      </c>
      <c r="J109">
        <v>41</v>
      </c>
      <c r="K109">
        <v>42</v>
      </c>
      <c r="L109">
        <v>38</v>
      </c>
      <c r="M109">
        <v>36</v>
      </c>
      <c r="N109">
        <v>36</v>
      </c>
      <c r="O109">
        <v>36</v>
      </c>
      <c r="P109" s="5">
        <f t="shared" si="24"/>
        <v>0.83666002653407556</v>
      </c>
      <c r="Q109" s="28">
        <f t="shared" si="25"/>
        <v>23</v>
      </c>
      <c r="R109" s="2">
        <f t="shared" si="26"/>
        <v>42</v>
      </c>
      <c r="S109" s="27">
        <f t="shared" si="27"/>
        <v>82.608695652173907</v>
      </c>
      <c r="T109">
        <v>24</v>
      </c>
      <c r="U109">
        <v>22</v>
      </c>
      <c r="V109">
        <v>26</v>
      </c>
      <c r="W109">
        <v>29</v>
      </c>
      <c r="X109">
        <v>31</v>
      </c>
      <c r="Y109">
        <v>21</v>
      </c>
      <c r="Z109">
        <v>39</v>
      </c>
      <c r="AA109">
        <v>40</v>
      </c>
      <c r="AB109">
        <v>43</v>
      </c>
      <c r="AC109">
        <v>44</v>
      </c>
      <c r="AD109">
        <v>43</v>
      </c>
      <c r="AE109">
        <v>44</v>
      </c>
      <c r="AI109">
        <v>20</v>
      </c>
      <c r="AJ109">
        <v>25</v>
      </c>
      <c r="AK109">
        <v>21</v>
      </c>
      <c r="AL109">
        <v>26</v>
      </c>
      <c r="AM109">
        <v>25</v>
      </c>
      <c r="AN109">
        <v>24</v>
      </c>
      <c r="AO109">
        <v>41</v>
      </c>
      <c r="AP109">
        <v>34</v>
      </c>
      <c r="AQ109">
        <v>33</v>
      </c>
      <c r="AR109">
        <v>33</v>
      </c>
      <c r="AS109">
        <v>31</v>
      </c>
      <c r="AT109">
        <v>31</v>
      </c>
      <c r="AX109">
        <v>22</v>
      </c>
      <c r="AY109">
        <v>27</v>
      </c>
      <c r="AZ109">
        <v>25</v>
      </c>
      <c r="BA109">
        <v>26</v>
      </c>
      <c r="BB109">
        <v>25</v>
      </c>
      <c r="BC109">
        <v>21</v>
      </c>
      <c r="BD109">
        <v>42</v>
      </c>
      <c r="BE109">
        <v>38</v>
      </c>
      <c r="BF109">
        <v>33</v>
      </c>
      <c r="BG109">
        <v>31</v>
      </c>
      <c r="BH109">
        <v>28</v>
      </c>
      <c r="BI109">
        <v>24</v>
      </c>
    </row>
    <row r="110" spans="1:66" x14ac:dyDescent="0.25">
      <c r="A110" s="67"/>
      <c r="B110" s="3" t="s">
        <v>166</v>
      </c>
      <c r="C110" t="s">
        <v>171</v>
      </c>
      <c r="D110">
        <v>17</v>
      </c>
      <c r="E110">
        <v>16</v>
      </c>
      <c r="F110">
        <v>16</v>
      </c>
      <c r="G110">
        <v>18</v>
      </c>
      <c r="H110">
        <v>21</v>
      </c>
      <c r="I110">
        <v>15</v>
      </c>
      <c r="J110">
        <v>41</v>
      </c>
      <c r="K110">
        <v>37</v>
      </c>
      <c r="L110">
        <v>24</v>
      </c>
      <c r="M110">
        <v>23</v>
      </c>
      <c r="N110">
        <v>21</v>
      </c>
      <c r="O110">
        <v>21</v>
      </c>
      <c r="P110" s="5">
        <f t="shared" si="24"/>
        <v>2.073644135332775</v>
      </c>
      <c r="Q110" s="28">
        <f t="shared" si="25"/>
        <v>17</v>
      </c>
      <c r="R110" s="2">
        <f t="shared" si="26"/>
        <v>41</v>
      </c>
      <c r="S110" s="27">
        <f t="shared" si="27"/>
        <v>141.1764705882353</v>
      </c>
      <c r="T110">
        <v>24</v>
      </c>
      <c r="U110">
        <v>25</v>
      </c>
      <c r="V110">
        <v>26</v>
      </c>
      <c r="W110">
        <v>27</v>
      </c>
      <c r="X110">
        <v>27</v>
      </c>
      <c r="Y110">
        <v>18</v>
      </c>
      <c r="Z110">
        <v>42</v>
      </c>
      <c r="AA110">
        <v>35</v>
      </c>
      <c r="AB110">
        <v>27</v>
      </c>
      <c r="AC110">
        <v>26</v>
      </c>
      <c r="AD110">
        <v>26</v>
      </c>
      <c r="AE110">
        <v>28</v>
      </c>
      <c r="AI110">
        <v>27</v>
      </c>
      <c r="AJ110">
        <v>30</v>
      </c>
      <c r="AK110">
        <v>30</v>
      </c>
      <c r="AL110">
        <v>33</v>
      </c>
      <c r="AM110">
        <v>32</v>
      </c>
      <c r="AN110">
        <v>23</v>
      </c>
      <c r="AO110">
        <v>41</v>
      </c>
      <c r="AP110">
        <v>40</v>
      </c>
      <c r="AQ110">
        <v>34</v>
      </c>
      <c r="AR110">
        <v>31</v>
      </c>
      <c r="AS110">
        <v>31</v>
      </c>
      <c r="AT110">
        <v>31</v>
      </c>
      <c r="AX110">
        <v>28</v>
      </c>
      <c r="AY110">
        <v>30</v>
      </c>
      <c r="AZ110">
        <v>29</v>
      </c>
      <c r="BA110">
        <v>31</v>
      </c>
      <c r="BB110">
        <v>20</v>
      </c>
      <c r="BC110">
        <v>20</v>
      </c>
      <c r="BD110">
        <v>41</v>
      </c>
      <c r="BE110">
        <v>42</v>
      </c>
      <c r="BF110">
        <v>37</v>
      </c>
      <c r="BG110">
        <v>36</v>
      </c>
      <c r="BH110">
        <v>35</v>
      </c>
      <c r="BI110">
        <v>34</v>
      </c>
    </row>
    <row r="111" spans="1:66" x14ac:dyDescent="0.25">
      <c r="A111" s="67"/>
      <c r="B111" s="3" t="s">
        <v>166</v>
      </c>
      <c r="C111" t="s">
        <v>172</v>
      </c>
      <c r="D111">
        <v>26</v>
      </c>
      <c r="E111">
        <v>24</v>
      </c>
      <c r="F111">
        <v>21</v>
      </c>
      <c r="G111">
        <v>21</v>
      </c>
      <c r="H111">
        <v>20</v>
      </c>
      <c r="I111">
        <v>19</v>
      </c>
      <c r="J111">
        <v>36</v>
      </c>
      <c r="K111">
        <v>30</v>
      </c>
      <c r="L111">
        <v>25</v>
      </c>
      <c r="M111">
        <v>25</v>
      </c>
      <c r="N111">
        <v>25</v>
      </c>
      <c r="O111">
        <v>24</v>
      </c>
      <c r="P111" s="5">
        <f t="shared" si="24"/>
        <v>2.5099800796022267</v>
      </c>
      <c r="Q111" s="28">
        <f t="shared" si="25"/>
        <v>21</v>
      </c>
      <c r="R111" s="2">
        <f t="shared" si="26"/>
        <v>36</v>
      </c>
      <c r="S111" s="27">
        <f t="shared" si="27"/>
        <v>71.428571428571431</v>
      </c>
      <c r="T111">
        <v>20</v>
      </c>
      <c r="U111">
        <v>20</v>
      </c>
      <c r="V111">
        <v>19</v>
      </c>
      <c r="W111">
        <v>23</v>
      </c>
      <c r="X111">
        <v>24</v>
      </c>
      <c r="Y111">
        <v>20</v>
      </c>
      <c r="Z111">
        <v>27</v>
      </c>
      <c r="AA111">
        <v>20</v>
      </c>
      <c r="AB111">
        <v>21</v>
      </c>
      <c r="AC111">
        <v>17</v>
      </c>
      <c r="AD111">
        <v>17</v>
      </c>
      <c r="AE111">
        <v>16</v>
      </c>
      <c r="AI111">
        <v>26</v>
      </c>
      <c r="AJ111">
        <v>21</v>
      </c>
      <c r="AK111">
        <v>18</v>
      </c>
      <c r="AL111">
        <v>23</v>
      </c>
      <c r="AM111">
        <v>24</v>
      </c>
      <c r="AN111">
        <v>22</v>
      </c>
      <c r="AO111">
        <v>36</v>
      </c>
      <c r="AP111">
        <v>32</v>
      </c>
      <c r="AQ111">
        <v>28</v>
      </c>
      <c r="AR111">
        <v>23</v>
      </c>
      <c r="AS111">
        <v>23</v>
      </c>
      <c r="AT111">
        <v>30</v>
      </c>
      <c r="AX111">
        <v>26</v>
      </c>
      <c r="AY111">
        <v>21</v>
      </c>
      <c r="AZ111">
        <v>18</v>
      </c>
      <c r="BA111">
        <v>23</v>
      </c>
      <c r="BB111">
        <v>24</v>
      </c>
      <c r="BC111">
        <v>22</v>
      </c>
      <c r="BD111">
        <v>36</v>
      </c>
      <c r="BE111">
        <v>32</v>
      </c>
      <c r="BF111">
        <v>28</v>
      </c>
      <c r="BG111">
        <v>23</v>
      </c>
      <c r="BH111">
        <v>23</v>
      </c>
      <c r="BI111">
        <v>30</v>
      </c>
    </row>
    <row r="112" spans="1:66" x14ac:dyDescent="0.25">
      <c r="A112" s="67"/>
      <c r="B112" s="3" t="s">
        <v>166</v>
      </c>
      <c r="C112" t="s">
        <v>173</v>
      </c>
      <c r="D112">
        <v>23</v>
      </c>
      <c r="E112">
        <v>33</v>
      </c>
      <c r="F112">
        <v>35</v>
      </c>
      <c r="G112">
        <v>29</v>
      </c>
      <c r="H112">
        <v>34</v>
      </c>
      <c r="I112">
        <v>23</v>
      </c>
      <c r="J112">
        <v>50</v>
      </c>
      <c r="K112">
        <v>46</v>
      </c>
      <c r="L112">
        <v>37</v>
      </c>
      <c r="M112">
        <v>29</v>
      </c>
      <c r="N112">
        <v>27</v>
      </c>
      <c r="O112">
        <v>30</v>
      </c>
      <c r="P112" s="5">
        <f t="shared" si="24"/>
        <v>4.9193495504995424</v>
      </c>
      <c r="Q112" s="28">
        <f t="shared" si="25"/>
        <v>33</v>
      </c>
      <c r="R112" s="2">
        <f t="shared" si="26"/>
        <v>50</v>
      </c>
      <c r="S112" s="27">
        <f t="shared" si="27"/>
        <v>51.515151515151516</v>
      </c>
    </row>
    <row r="113" spans="1:66" x14ac:dyDescent="0.25">
      <c r="A113" s="67"/>
      <c r="B113" s="3"/>
      <c r="P113" s="31" t="s">
        <v>110</v>
      </c>
      <c r="Q113" s="29">
        <f>AVERAGE(Q104:Q112)</f>
        <v>24.714285714285715</v>
      </c>
      <c r="R113" s="29">
        <f>AVERAGE(R104:R112)</f>
        <v>39.428571428571431</v>
      </c>
      <c r="S113" s="29">
        <f>AVERAGE(S104:S112)</f>
        <v>66.025688223727869</v>
      </c>
    </row>
    <row r="114" spans="1:66" x14ac:dyDescent="0.25">
      <c r="A114" s="67"/>
      <c r="B114" s="3"/>
      <c r="P114" s="31" t="s">
        <v>111</v>
      </c>
      <c r="Q114" s="29">
        <f>STDEVA(Q104:Q112)</f>
        <v>5.2508502712826042</v>
      </c>
      <c r="R114" s="29">
        <f>STDEVA(R104:R112)</f>
        <v>7.9552318813290643</v>
      </c>
      <c r="S114" s="29">
        <f>STDEVA(S104:S112)</f>
        <v>46.98540746254556</v>
      </c>
    </row>
    <row r="115" spans="1:66" ht="16.5" thickBot="1" x14ac:dyDescent="0.3">
      <c r="A115" s="67"/>
      <c r="B115" s="3"/>
      <c r="P115" s="31" t="s">
        <v>112</v>
      </c>
      <c r="Q115" s="32">
        <f>Q114/Q113</f>
        <v>0.21246214970507646</v>
      </c>
      <c r="R115" s="32">
        <f>R114/R113</f>
        <v>0.20176312742501248</v>
      </c>
      <c r="S115" s="32">
        <f>S114/S113</f>
        <v>0.711623138305437</v>
      </c>
    </row>
    <row r="116" spans="1:66" x14ac:dyDescent="0.25">
      <c r="A116" s="4"/>
      <c r="B116" s="3"/>
      <c r="N116" s="9"/>
      <c r="O116" s="8" t="s">
        <v>113</v>
      </c>
      <c r="P116" s="10">
        <v>5</v>
      </c>
      <c r="Q116" s="15" t="s">
        <v>114</v>
      </c>
      <c r="R116" s="16"/>
      <c r="S116" s="16"/>
      <c r="T116" s="16"/>
      <c r="U116" s="17"/>
      <c r="AC116" s="9"/>
      <c r="AD116" s="9"/>
      <c r="AE116" s="8" t="s">
        <v>113</v>
      </c>
      <c r="AF116" s="10">
        <v>5</v>
      </c>
      <c r="AG116" s="15" t="s">
        <v>114</v>
      </c>
      <c r="AH116" s="16"/>
      <c r="AI116" s="11"/>
      <c r="AJ116" s="12"/>
      <c r="AS116" s="9"/>
      <c r="AT116" s="8" t="s">
        <v>113</v>
      </c>
      <c r="AU116" s="10">
        <v>5</v>
      </c>
      <c r="AV116" s="15" t="s">
        <v>114</v>
      </c>
      <c r="AW116" s="16"/>
      <c r="AX116" s="11"/>
      <c r="AY116" s="12"/>
      <c r="BG116" s="9"/>
      <c r="BH116" s="9"/>
      <c r="BI116" s="8" t="s">
        <v>113</v>
      </c>
      <c r="BJ116" s="10">
        <v>5</v>
      </c>
      <c r="BK116" s="15" t="s">
        <v>114</v>
      </c>
      <c r="BL116" s="16"/>
      <c r="BM116" s="11"/>
      <c r="BN116" s="12"/>
    </row>
    <row r="117" spans="1:66" ht="16.5" thickBot="1" x14ac:dyDescent="0.3">
      <c r="A117" s="4"/>
      <c r="B117" s="3"/>
      <c r="N117" s="9"/>
      <c r="O117" s="8" t="s">
        <v>115</v>
      </c>
      <c r="P117" s="10">
        <v>7</v>
      </c>
      <c r="Q117" s="18" t="s">
        <v>114</v>
      </c>
      <c r="R117" s="13"/>
      <c r="S117" s="13"/>
      <c r="T117" s="13"/>
      <c r="U117" s="14"/>
      <c r="AC117" s="9"/>
      <c r="AD117" s="9"/>
      <c r="AE117" s="8" t="s">
        <v>115</v>
      </c>
      <c r="AF117" s="10">
        <v>10</v>
      </c>
      <c r="AG117" s="18" t="s">
        <v>114</v>
      </c>
      <c r="AH117" s="13"/>
      <c r="AI117" s="13"/>
      <c r="AJ117" s="14"/>
      <c r="AS117" s="9"/>
      <c r="AT117" s="8" t="s">
        <v>115</v>
      </c>
      <c r="AU117" s="10">
        <v>10</v>
      </c>
      <c r="AV117" s="18" t="s">
        <v>114</v>
      </c>
      <c r="AW117" s="13"/>
      <c r="AX117" s="13"/>
      <c r="AY117" s="14"/>
      <c r="BG117" s="9"/>
      <c r="BH117" s="9"/>
      <c r="BI117" s="8" t="s">
        <v>115</v>
      </c>
      <c r="BJ117" s="10">
        <v>10</v>
      </c>
      <c r="BK117" s="18" t="s">
        <v>114</v>
      </c>
      <c r="BL117" s="13"/>
      <c r="BM117" s="13"/>
      <c r="BN117" s="14"/>
    </row>
    <row r="118" spans="1:66" x14ac:dyDescent="0.25">
      <c r="A118" s="4"/>
      <c r="B118" s="3"/>
      <c r="O118" s="2" t="s">
        <v>116</v>
      </c>
      <c r="P118" s="27">
        <f>SQRT(AVERAGE(P104:P115))</f>
        <v>1.6273680911089587</v>
      </c>
      <c r="AE118" s="2" t="s">
        <v>116</v>
      </c>
      <c r="AF118" s="5" t="e">
        <f>SQRT(AVERAGE(AF104:AF115))</f>
        <v>#DIV/0!</v>
      </c>
      <c r="AT118" s="2" t="s">
        <v>116</v>
      </c>
      <c r="AU118" s="5" t="e">
        <f>SQRT(AVERAGE(AU104:AU115))</f>
        <v>#DIV/0!</v>
      </c>
      <c r="BI118" s="2" t="s">
        <v>116</v>
      </c>
      <c r="BJ118" s="5" t="e">
        <f>SQRT(AVERAGE(BJ104:BJ115))</f>
        <v>#DIV/0!</v>
      </c>
    </row>
    <row r="119" spans="1:66" x14ac:dyDescent="0.25">
      <c r="A119" s="4"/>
      <c r="B119" s="3"/>
      <c r="O119" s="2" t="s">
        <v>117</v>
      </c>
      <c r="P119" s="27">
        <f>2.77*P118</f>
        <v>4.5078096123718154</v>
      </c>
      <c r="AE119" s="2" t="s">
        <v>117</v>
      </c>
      <c r="AF119" s="5" t="e">
        <f>2.77*AF118</f>
        <v>#DIV/0!</v>
      </c>
      <c r="AT119" s="2" t="s">
        <v>117</v>
      </c>
      <c r="AU119" s="5" t="e">
        <f>2.77*AU118</f>
        <v>#DIV/0!</v>
      </c>
      <c r="BI119" s="2" t="s">
        <v>117</v>
      </c>
      <c r="BJ119" s="5" t="e">
        <f>2.77*BJ118</f>
        <v>#DIV/0!</v>
      </c>
    </row>
    <row r="120" spans="1:66" x14ac:dyDescent="0.25">
      <c r="A120" s="4"/>
      <c r="B120" s="3"/>
      <c r="O120" s="2" t="s">
        <v>118</v>
      </c>
      <c r="P120" s="27">
        <f>P119-(1.96*(P118/(SQRT(2*P117*(P116-1)))))</f>
        <v>4.0815758436349521</v>
      </c>
      <c r="AE120" s="2" t="s">
        <v>118</v>
      </c>
      <c r="AF120" s="5" t="e">
        <f>AF119-(1.96*(AF118/(SQRT(2*AF117*(AF116-1)))))</f>
        <v>#DIV/0!</v>
      </c>
      <c r="AT120" s="2" t="s">
        <v>118</v>
      </c>
      <c r="AU120" s="5" t="e">
        <f>AU119-(1.96*(AU118/(SQRT(2*AU117*(AU116-1)))))</f>
        <v>#DIV/0!</v>
      </c>
      <c r="BI120" s="2" t="s">
        <v>118</v>
      </c>
      <c r="BJ120" s="5" t="e">
        <f>BJ119-(1.96*(BJ118/(SQRT(2*BJ117*(BJ116-1)))))</f>
        <v>#DIV/0!</v>
      </c>
    </row>
    <row r="121" spans="1:66" x14ac:dyDescent="0.25">
      <c r="A121" s="4"/>
      <c r="B121" s="3"/>
      <c r="O121" s="2" t="s">
        <v>119</v>
      </c>
      <c r="P121" s="27">
        <f>P119+(1.96*(P118/(SQRT(2*P117*(P116-1)))))</f>
        <v>4.9340433811086788</v>
      </c>
      <c r="AE121" s="2" t="s">
        <v>119</v>
      </c>
      <c r="AF121" s="5" t="e">
        <f>AF119+(1.96*(AF118/(SQRT(2*AF117*(AF116-1)))))</f>
        <v>#DIV/0!</v>
      </c>
      <c r="AT121" s="2" t="s">
        <v>119</v>
      </c>
      <c r="AU121" s="5" t="e">
        <f>AU119+(1.96*(AU118/(SQRT(2*AU117*(AU116-1)))))</f>
        <v>#DIV/0!</v>
      </c>
      <c r="BI121" s="2" t="s">
        <v>119</v>
      </c>
      <c r="BJ121" s="5" t="e">
        <f>BJ119+(1.96*(BJ118/(SQRT(2*BJ117*(BJ116-1)))))</f>
        <v>#DIV/0!</v>
      </c>
    </row>
    <row r="125" spans="1:66" x14ac:dyDescent="0.25">
      <c r="B125" s="3" t="s">
        <v>166</v>
      </c>
      <c r="C125" t="s">
        <v>174</v>
      </c>
      <c r="F125">
        <v>24</v>
      </c>
      <c r="G125">
        <v>22</v>
      </c>
      <c r="H125">
        <v>22</v>
      </c>
      <c r="I125">
        <v>17</v>
      </c>
      <c r="J125">
        <v>42</v>
      </c>
      <c r="K125">
        <v>39</v>
      </c>
      <c r="L125">
        <v>31</v>
      </c>
      <c r="M125">
        <v>21</v>
      </c>
      <c r="N125">
        <v>24</v>
      </c>
      <c r="O125">
        <v>23</v>
      </c>
      <c r="P125" s="5">
        <f>IFERROR(STDEVA(D125:H125),#N/A)</f>
        <v>1.1547005383792515</v>
      </c>
      <c r="Q125" s="28">
        <f>MEDIAN(D125:H125)</f>
        <v>22</v>
      </c>
      <c r="R125" s="2">
        <f>MAX(J125:O125)</f>
        <v>42</v>
      </c>
      <c r="S125" s="27">
        <f>100*(R125-Q125)/Q125</f>
        <v>90.909090909090907</v>
      </c>
      <c r="T125">
        <v>23</v>
      </c>
      <c r="U125">
        <v>23</v>
      </c>
      <c r="V125">
        <v>21</v>
      </c>
      <c r="W125">
        <v>23</v>
      </c>
      <c r="X125">
        <v>21</v>
      </c>
      <c r="Y125">
        <v>26</v>
      </c>
      <c r="Z125">
        <v>32</v>
      </c>
      <c r="AA125">
        <v>32</v>
      </c>
      <c r="AB125">
        <v>33</v>
      </c>
      <c r="AC125">
        <v>31</v>
      </c>
      <c r="AD125">
        <v>30</v>
      </c>
      <c r="AE125">
        <v>30</v>
      </c>
      <c r="AI125">
        <v>28</v>
      </c>
      <c r="AJ125">
        <v>31</v>
      </c>
      <c r="AK125">
        <v>31</v>
      </c>
      <c r="AL125">
        <v>30</v>
      </c>
      <c r="AM125">
        <v>33</v>
      </c>
      <c r="AN125">
        <v>31</v>
      </c>
      <c r="AO125">
        <v>31</v>
      </c>
      <c r="AP125">
        <v>32</v>
      </c>
      <c r="AQ125">
        <v>35</v>
      </c>
      <c r="AR125">
        <v>42</v>
      </c>
      <c r="AS125">
        <v>41</v>
      </c>
      <c r="AT125">
        <v>40</v>
      </c>
      <c r="AX125">
        <v>25</v>
      </c>
      <c r="AY125">
        <v>25</v>
      </c>
      <c r="AZ125">
        <v>28</v>
      </c>
      <c r="BA125">
        <v>28</v>
      </c>
      <c r="BB125">
        <v>25</v>
      </c>
      <c r="BC125">
        <v>30</v>
      </c>
      <c r="BD125">
        <v>32</v>
      </c>
      <c r="BE125">
        <v>41</v>
      </c>
      <c r="BF125">
        <v>37</v>
      </c>
      <c r="BG125">
        <v>35</v>
      </c>
      <c r="BH125">
        <v>35</v>
      </c>
      <c r="BI125">
        <v>33</v>
      </c>
    </row>
    <row r="126" spans="1:66" x14ac:dyDescent="0.25">
      <c r="B126" s="3" t="s">
        <v>166</v>
      </c>
      <c r="C126" t="s">
        <v>175</v>
      </c>
      <c r="D126">
        <v>28</v>
      </c>
      <c r="E126">
        <v>29</v>
      </c>
      <c r="F126">
        <v>33</v>
      </c>
      <c r="G126">
        <v>34</v>
      </c>
      <c r="H126">
        <v>35</v>
      </c>
      <c r="I126">
        <v>27</v>
      </c>
      <c r="J126">
        <v>47</v>
      </c>
      <c r="K126">
        <v>48</v>
      </c>
      <c r="L126">
        <v>48</v>
      </c>
      <c r="M126">
        <v>46</v>
      </c>
      <c r="N126">
        <v>44</v>
      </c>
      <c r="O126">
        <v>44</v>
      </c>
      <c r="P126" s="5">
        <f>IFERROR(STDEVA(D126:H126),#N/A)</f>
        <v>3.1144823004794873</v>
      </c>
      <c r="Q126" s="28">
        <f>MEDIAN(D126:H126)</f>
        <v>33</v>
      </c>
      <c r="R126" s="2">
        <f>MAX(J126:O126)</f>
        <v>48</v>
      </c>
      <c r="S126" s="27">
        <f>100*(R126-Q126)/Q126</f>
        <v>45.454545454545453</v>
      </c>
      <c r="T126">
        <v>27</v>
      </c>
      <c r="U126">
        <v>23</v>
      </c>
      <c r="V126">
        <v>26</v>
      </c>
      <c r="W126">
        <v>26</v>
      </c>
      <c r="X126">
        <v>29</v>
      </c>
      <c r="Y126">
        <v>23</v>
      </c>
      <c r="Z126">
        <v>29</v>
      </c>
      <c r="AA126">
        <v>30</v>
      </c>
      <c r="AB126">
        <v>36</v>
      </c>
      <c r="AC126">
        <v>37</v>
      </c>
      <c r="AD126">
        <v>39</v>
      </c>
      <c r="AE126">
        <v>39</v>
      </c>
      <c r="AI126">
        <v>31</v>
      </c>
      <c r="AJ126">
        <v>34</v>
      </c>
      <c r="AK126">
        <v>36</v>
      </c>
      <c r="AL126">
        <v>34</v>
      </c>
      <c r="AM126">
        <v>32</v>
      </c>
      <c r="AN126">
        <v>25</v>
      </c>
      <c r="AO126">
        <v>47</v>
      </c>
      <c r="AP126">
        <v>49</v>
      </c>
      <c r="AQ126">
        <v>43</v>
      </c>
      <c r="AR126">
        <v>38</v>
      </c>
      <c r="AS126">
        <v>35</v>
      </c>
      <c r="AT126">
        <v>36</v>
      </c>
      <c r="AX126">
        <v>23</v>
      </c>
      <c r="AY126">
        <v>22</v>
      </c>
      <c r="AZ126">
        <v>31</v>
      </c>
      <c r="BA126">
        <v>28</v>
      </c>
      <c r="BB126">
        <v>30</v>
      </c>
      <c r="BC126">
        <v>17</v>
      </c>
      <c r="BD126">
        <v>39</v>
      </c>
      <c r="BE126">
        <v>34</v>
      </c>
      <c r="BF126">
        <v>29</v>
      </c>
      <c r="BG126">
        <v>26</v>
      </c>
      <c r="BH126">
        <v>31</v>
      </c>
      <c r="BI126">
        <v>31</v>
      </c>
    </row>
    <row r="127" spans="1:66" x14ac:dyDescent="0.25">
      <c r="B127" s="3" t="s">
        <v>166</v>
      </c>
      <c r="C127" t="s">
        <v>176</v>
      </c>
      <c r="D127">
        <v>24</v>
      </c>
      <c r="E127">
        <v>34</v>
      </c>
      <c r="F127">
        <v>30</v>
      </c>
      <c r="G127">
        <v>31</v>
      </c>
      <c r="H127">
        <v>33</v>
      </c>
      <c r="I127">
        <v>33</v>
      </c>
      <c r="J127">
        <v>31</v>
      </c>
      <c r="K127">
        <v>37</v>
      </c>
      <c r="L127">
        <v>30</v>
      </c>
      <c r="M127">
        <v>35</v>
      </c>
      <c r="N127">
        <v>38</v>
      </c>
      <c r="O127">
        <v>32</v>
      </c>
      <c r="P127" s="5">
        <f>IFERROR(STDEVA(D127:H127),#N/A)</f>
        <v>3.9115214431215835</v>
      </c>
      <c r="Q127" s="28">
        <f>MEDIAN(D127:H127)</f>
        <v>31</v>
      </c>
      <c r="R127" s="2">
        <f>MAX(J127:O127)</f>
        <v>38</v>
      </c>
      <c r="S127" s="27">
        <f>100*(R127-Q127)/Q127</f>
        <v>22.580645161290324</v>
      </c>
      <c r="T127">
        <v>22</v>
      </c>
      <c r="U127">
        <v>23</v>
      </c>
      <c r="V127">
        <v>24</v>
      </c>
      <c r="W127">
        <v>35</v>
      </c>
      <c r="X127">
        <v>30</v>
      </c>
      <c r="Y127">
        <v>30</v>
      </c>
      <c r="Z127">
        <v>31</v>
      </c>
      <c r="AA127">
        <v>44</v>
      </c>
      <c r="AB127">
        <v>39</v>
      </c>
      <c r="AC127">
        <v>35</v>
      </c>
      <c r="AD127">
        <v>35</v>
      </c>
      <c r="AE127">
        <v>34</v>
      </c>
      <c r="AI127">
        <v>39</v>
      </c>
      <c r="AJ127">
        <v>35</v>
      </c>
      <c r="AK127">
        <v>38</v>
      </c>
      <c r="AL127">
        <v>36</v>
      </c>
      <c r="AM127">
        <v>38</v>
      </c>
      <c r="AN127">
        <v>22</v>
      </c>
      <c r="AO127">
        <v>50</v>
      </c>
      <c r="AP127">
        <v>47</v>
      </c>
      <c r="AQ127">
        <v>45</v>
      </c>
      <c r="AR127">
        <v>41</v>
      </c>
      <c r="AS127">
        <v>39</v>
      </c>
      <c r="AT127">
        <v>39</v>
      </c>
      <c r="AX127">
        <v>32</v>
      </c>
      <c r="AY127">
        <v>36</v>
      </c>
      <c r="AZ127">
        <v>40</v>
      </c>
      <c r="BA127">
        <v>41</v>
      </c>
      <c r="BB127">
        <v>39</v>
      </c>
      <c r="BC127">
        <v>28</v>
      </c>
      <c r="BD127">
        <v>51</v>
      </c>
      <c r="BE127">
        <v>47</v>
      </c>
      <c r="BF127">
        <v>43</v>
      </c>
      <c r="BG127">
        <v>41</v>
      </c>
      <c r="BH127">
        <v>39</v>
      </c>
      <c r="BI127">
        <v>41</v>
      </c>
    </row>
    <row r="128" spans="1:66" x14ac:dyDescent="0.25">
      <c r="B128" s="3" t="s">
        <v>166</v>
      </c>
      <c r="C128" t="s">
        <v>177</v>
      </c>
      <c r="D128">
        <v>26</v>
      </c>
      <c r="E128">
        <v>26</v>
      </c>
      <c r="F128">
        <v>30</v>
      </c>
      <c r="G128">
        <v>30</v>
      </c>
      <c r="H128">
        <v>30</v>
      </c>
      <c r="I128">
        <v>22</v>
      </c>
      <c r="J128">
        <v>44</v>
      </c>
      <c r="K128">
        <v>41</v>
      </c>
      <c r="L128">
        <v>38</v>
      </c>
      <c r="M128">
        <v>35</v>
      </c>
      <c r="N128">
        <v>29</v>
      </c>
      <c r="O128">
        <v>32</v>
      </c>
      <c r="P128" s="5">
        <f>IFERROR(STDEVA(D128:H128),#N/A)</f>
        <v>2.1908902300206647</v>
      </c>
      <c r="Q128" s="28">
        <f>MEDIAN(D128:H128)</f>
        <v>30</v>
      </c>
      <c r="R128" s="2">
        <f>MAX(J128:O128)</f>
        <v>44</v>
      </c>
      <c r="S128" s="27">
        <f>100*(R128-Q128)/Q128</f>
        <v>46.666666666666664</v>
      </c>
    </row>
    <row r="129" spans="2:61" x14ac:dyDescent="0.25">
      <c r="B129" s="3" t="s">
        <v>166</v>
      </c>
      <c r="C129" t="s">
        <v>178</v>
      </c>
      <c r="D129">
        <v>27</v>
      </c>
      <c r="E129">
        <v>26</v>
      </c>
      <c r="F129">
        <v>26</v>
      </c>
      <c r="G129">
        <v>24</v>
      </c>
      <c r="H129">
        <v>29</v>
      </c>
      <c r="I129">
        <v>23</v>
      </c>
      <c r="J129">
        <v>47</v>
      </c>
      <c r="K129">
        <v>42</v>
      </c>
      <c r="L129">
        <v>36</v>
      </c>
      <c r="M129">
        <v>35</v>
      </c>
      <c r="N129">
        <v>32</v>
      </c>
      <c r="O129">
        <v>34</v>
      </c>
      <c r="P129" s="5">
        <f>IFERROR(STDEVA(D129:H129),#N/A)</f>
        <v>1.8165902124584952</v>
      </c>
      <c r="Q129" s="28">
        <f>MEDIAN(D129:H129)</f>
        <v>26</v>
      </c>
      <c r="R129" s="2">
        <f>MAX(J129:O129)</f>
        <v>47</v>
      </c>
      <c r="S129" s="27">
        <f>100*(R129-Q129)/Q129</f>
        <v>80.769230769230774</v>
      </c>
      <c r="T129">
        <v>26</v>
      </c>
      <c r="U129">
        <v>29</v>
      </c>
      <c r="V129">
        <v>32</v>
      </c>
      <c r="W129">
        <v>29</v>
      </c>
      <c r="X129">
        <v>30</v>
      </c>
      <c r="Y129">
        <v>19</v>
      </c>
      <c r="Z129">
        <v>46</v>
      </c>
      <c r="AA129">
        <v>42</v>
      </c>
      <c r="AB129">
        <v>40</v>
      </c>
      <c r="AC129">
        <v>35</v>
      </c>
      <c r="AD129">
        <v>35</v>
      </c>
      <c r="AE129">
        <v>33</v>
      </c>
      <c r="AI129">
        <v>28</v>
      </c>
      <c r="AJ129">
        <v>28</v>
      </c>
      <c r="AK129">
        <v>32</v>
      </c>
      <c r="AL129">
        <v>27</v>
      </c>
      <c r="AM129">
        <v>34</v>
      </c>
      <c r="AN129">
        <v>25</v>
      </c>
      <c r="AO129">
        <v>48</v>
      </c>
      <c r="AP129">
        <v>45</v>
      </c>
      <c r="AQ129">
        <v>35</v>
      </c>
      <c r="AR129">
        <v>34</v>
      </c>
      <c r="AS129">
        <v>37</v>
      </c>
      <c r="AT129">
        <v>37</v>
      </c>
      <c r="AX129">
        <v>34</v>
      </c>
      <c r="AY129">
        <v>31</v>
      </c>
      <c r="AZ129">
        <v>32</v>
      </c>
      <c r="BA129">
        <v>35</v>
      </c>
      <c r="BB129">
        <v>31</v>
      </c>
      <c r="BC129">
        <v>23</v>
      </c>
      <c r="BD129">
        <v>43</v>
      </c>
      <c r="BE129">
        <v>42</v>
      </c>
      <c r="BF129">
        <v>42</v>
      </c>
      <c r="BG129">
        <v>41</v>
      </c>
      <c r="BH129">
        <v>42</v>
      </c>
      <c r="BI129">
        <v>40</v>
      </c>
    </row>
  </sheetData>
  <mergeCells count="22">
    <mergeCell ref="AI2:AM2"/>
    <mergeCell ref="AO2:AT2"/>
    <mergeCell ref="AX1:BI1"/>
    <mergeCell ref="AX2:BB2"/>
    <mergeCell ref="BD2:BI2"/>
    <mergeCell ref="AI1:AT1"/>
    <mergeCell ref="AF1:AF2"/>
    <mergeCell ref="AU1:AU2"/>
    <mergeCell ref="BJ1:BJ2"/>
    <mergeCell ref="A104:A115"/>
    <mergeCell ref="A81:A92"/>
    <mergeCell ref="D1:O1"/>
    <mergeCell ref="T1:AE1"/>
    <mergeCell ref="T2:X2"/>
    <mergeCell ref="Z2:AE2"/>
    <mergeCell ref="D2:H2"/>
    <mergeCell ref="J2:O2"/>
    <mergeCell ref="A4:A15"/>
    <mergeCell ref="A23:A32"/>
    <mergeCell ref="A40:A52"/>
    <mergeCell ref="A61:A72"/>
    <mergeCell ref="P1:P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9E08-7327-ED44-930D-9453F2934E3D}">
  <dimension ref="A1:BN131"/>
  <sheetViews>
    <sheetView topLeftCell="C94" workbookViewId="0">
      <pane xSplit="1" topLeftCell="Q1" activePane="topRight" state="frozen"/>
      <selection activeCell="C1" sqref="C1"/>
      <selection pane="topRight" activeCell="Q129" sqref="Q129:S129"/>
    </sheetView>
  </sheetViews>
  <sheetFormatPr defaultColWidth="11.125" defaultRowHeight="15.75" x14ac:dyDescent="0.25"/>
  <cols>
    <col min="2" max="2" width="13.5" bestFit="1" customWidth="1"/>
    <col min="3" max="3" width="12.125" bestFit="1" customWidth="1"/>
    <col min="15" max="15" width="17.125" bestFit="1" customWidth="1"/>
    <col min="16" max="16" width="16.125" customWidth="1"/>
    <col min="32" max="32" width="16.125" customWidth="1"/>
    <col min="47" max="47" width="16.125" customWidth="1"/>
    <col min="62" max="62" width="16.125" customWidth="1"/>
  </cols>
  <sheetData>
    <row r="1" spans="1:66" x14ac:dyDescent="0.25">
      <c r="D1" s="69" t="s">
        <v>74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6" t="s">
        <v>75</v>
      </c>
      <c r="Q1" s="6"/>
      <c r="R1" s="6"/>
      <c r="S1" s="6"/>
      <c r="T1" s="70" t="s">
        <v>76</v>
      </c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66" t="s">
        <v>75</v>
      </c>
      <c r="AG1" s="6"/>
      <c r="AH1" s="6"/>
      <c r="AI1" s="69" t="s">
        <v>77</v>
      </c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6" t="s">
        <v>75</v>
      </c>
      <c r="AV1" s="6"/>
      <c r="AW1" s="6"/>
      <c r="AX1" s="70" t="s">
        <v>78</v>
      </c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66" t="s">
        <v>75</v>
      </c>
      <c r="BK1" s="6"/>
      <c r="BL1" s="6"/>
    </row>
    <row r="2" spans="1:66" s="19" customFormat="1" ht="60" customHeight="1" x14ac:dyDescent="0.25">
      <c r="D2" s="71" t="s">
        <v>79</v>
      </c>
      <c r="E2" s="71"/>
      <c r="F2" s="71"/>
      <c r="G2" s="71"/>
      <c r="H2" s="71"/>
      <c r="I2" s="7" t="s">
        <v>80</v>
      </c>
      <c r="J2" s="72" t="s">
        <v>81</v>
      </c>
      <c r="K2" s="72"/>
      <c r="L2" s="72"/>
      <c r="M2" s="72"/>
      <c r="N2" s="72"/>
      <c r="O2" s="72"/>
      <c r="P2" s="66"/>
      <c r="Q2" s="20" t="s">
        <v>82</v>
      </c>
      <c r="R2" s="20" t="s">
        <v>179</v>
      </c>
      <c r="S2" s="20" t="s">
        <v>84</v>
      </c>
      <c r="T2" s="71" t="s">
        <v>79</v>
      </c>
      <c r="U2" s="71"/>
      <c r="V2" s="71"/>
      <c r="W2" s="71"/>
      <c r="X2" s="71"/>
      <c r="Y2" s="7" t="s">
        <v>80</v>
      </c>
      <c r="Z2" s="72" t="s">
        <v>81</v>
      </c>
      <c r="AA2" s="72"/>
      <c r="AB2" s="72"/>
      <c r="AC2" s="72"/>
      <c r="AD2" s="72"/>
      <c r="AE2" s="72"/>
      <c r="AF2" s="66"/>
      <c r="AG2" s="20"/>
      <c r="AH2" s="20"/>
      <c r="AI2" s="71" t="s">
        <v>79</v>
      </c>
      <c r="AJ2" s="71"/>
      <c r="AK2" s="71"/>
      <c r="AL2" s="71"/>
      <c r="AM2" s="71"/>
      <c r="AN2" s="7" t="s">
        <v>80</v>
      </c>
      <c r="AO2" s="72" t="s">
        <v>81</v>
      </c>
      <c r="AP2" s="72"/>
      <c r="AQ2" s="72"/>
      <c r="AR2" s="72"/>
      <c r="AS2" s="72"/>
      <c r="AT2" s="72"/>
      <c r="AU2" s="66"/>
      <c r="AV2" s="20"/>
      <c r="AW2" s="20"/>
      <c r="AX2" s="71" t="s">
        <v>79</v>
      </c>
      <c r="AY2" s="71"/>
      <c r="AZ2" s="71"/>
      <c r="BA2" s="71"/>
      <c r="BB2" s="71"/>
      <c r="BC2" s="7" t="s">
        <v>80</v>
      </c>
      <c r="BD2" s="72" t="s">
        <v>81</v>
      </c>
      <c r="BE2" s="72"/>
      <c r="BF2" s="72"/>
      <c r="BG2" s="72"/>
      <c r="BH2" s="72"/>
      <c r="BI2" s="72"/>
      <c r="BJ2" s="66"/>
      <c r="BK2" s="20"/>
      <c r="BL2" s="20"/>
    </row>
    <row r="3" spans="1:66" x14ac:dyDescent="0.25">
      <c r="A3" s="1" t="s">
        <v>85</v>
      </c>
      <c r="B3" s="1" t="s">
        <v>86</v>
      </c>
      <c r="C3" s="1" t="s">
        <v>0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  <c r="M3" s="2" t="s">
        <v>96</v>
      </c>
      <c r="N3" s="2" t="s">
        <v>97</v>
      </c>
      <c r="O3" s="2" t="s">
        <v>98</v>
      </c>
      <c r="P3" s="2" t="s">
        <v>99</v>
      </c>
      <c r="Q3" s="2"/>
      <c r="R3" s="2"/>
      <c r="S3" s="2"/>
      <c r="T3" s="2" t="s">
        <v>180</v>
      </c>
      <c r="U3" s="2" t="s">
        <v>88</v>
      </c>
      <c r="V3" s="2" t="s">
        <v>89</v>
      </c>
      <c r="W3" s="2" t="s">
        <v>90</v>
      </c>
      <c r="X3" s="2" t="s">
        <v>91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/>
      <c r="AH3" s="2"/>
      <c r="AI3" s="2" t="s">
        <v>87</v>
      </c>
      <c r="AJ3" s="2" t="s">
        <v>88</v>
      </c>
      <c r="AK3" s="2" t="s">
        <v>89</v>
      </c>
      <c r="AL3" s="2" t="s">
        <v>90</v>
      </c>
      <c r="AM3" s="2" t="s">
        <v>91</v>
      </c>
      <c r="AN3" s="2" t="s">
        <v>92</v>
      </c>
      <c r="AO3" s="2" t="s">
        <v>93</v>
      </c>
      <c r="AP3" s="2" t="s">
        <v>94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99</v>
      </c>
      <c r="AV3" s="2"/>
      <c r="AW3" s="2"/>
      <c r="AX3" s="2" t="s">
        <v>87</v>
      </c>
      <c r="AY3" s="2" t="s">
        <v>88</v>
      </c>
      <c r="AZ3" s="2" t="s">
        <v>89</v>
      </c>
      <c r="BA3" s="2" t="s">
        <v>90</v>
      </c>
      <c r="BB3" s="2" t="s">
        <v>91</v>
      </c>
      <c r="BC3" s="2" t="s">
        <v>92</v>
      </c>
      <c r="BD3" s="2" t="s">
        <v>93</v>
      </c>
      <c r="BE3" s="2" t="s">
        <v>94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99</v>
      </c>
      <c r="BK3" s="2"/>
      <c r="BL3" s="2"/>
    </row>
    <row r="4" spans="1:66" x14ac:dyDescent="0.25">
      <c r="A4" s="68"/>
      <c r="B4" s="3" t="s">
        <v>100</v>
      </c>
      <c r="C4" s="21" t="s">
        <v>101</v>
      </c>
      <c r="D4">
        <v>1.3</v>
      </c>
      <c r="E4">
        <v>1.67</v>
      </c>
      <c r="F4">
        <v>1.35</v>
      </c>
      <c r="G4">
        <v>1.58</v>
      </c>
      <c r="H4">
        <v>1.49</v>
      </c>
      <c r="I4">
        <v>0.61</v>
      </c>
      <c r="J4">
        <v>2.33</v>
      </c>
      <c r="K4">
        <v>1.93</v>
      </c>
      <c r="L4">
        <v>2.13</v>
      </c>
      <c r="M4">
        <v>2.0699999999999998</v>
      </c>
      <c r="P4" s="5">
        <f>IFERROR(STDEVA(D4:H4),#N/A)</f>
        <v>0.15449919093639289</v>
      </c>
      <c r="Q4">
        <f>MEDIAN(D4:H4)</f>
        <v>1.49</v>
      </c>
      <c r="R4" s="2">
        <f>MAX(J4:O4)</f>
        <v>2.33</v>
      </c>
      <c r="S4" s="27">
        <f t="shared" ref="S4:S12" si="0">100*(R4-Q4)/Q4</f>
        <v>56.375838926174509</v>
      </c>
      <c r="AF4" s="5" t="e">
        <f t="shared" ref="AF4:AF15" si="1">IFERROR(STDEVA(T4:X4),#N/A)</f>
        <v>#N/A</v>
      </c>
      <c r="AU4" s="5" t="e">
        <f t="shared" ref="AU4:AU13" si="2">IFERROR(STDEVA(AI4:AM4),#N/A)</f>
        <v>#N/A</v>
      </c>
      <c r="BJ4" s="5" t="e">
        <f t="shared" ref="BJ4:BJ13" si="3">IFERROR(STDEVA(AX4:BB4),#N/A)</f>
        <v>#N/A</v>
      </c>
    </row>
    <row r="5" spans="1:66" x14ac:dyDescent="0.25">
      <c r="A5" s="68"/>
      <c r="B5" s="3" t="s">
        <v>100</v>
      </c>
      <c r="C5" s="21" t="s">
        <v>102</v>
      </c>
      <c r="D5">
        <v>2.46</v>
      </c>
      <c r="E5">
        <v>2.29</v>
      </c>
      <c r="F5">
        <v>2.5499999999999998</v>
      </c>
      <c r="G5">
        <v>2.74</v>
      </c>
      <c r="H5">
        <v>2.82</v>
      </c>
      <c r="I5">
        <v>1.17</v>
      </c>
      <c r="J5">
        <v>3.13</v>
      </c>
      <c r="K5">
        <v>3.1</v>
      </c>
      <c r="L5">
        <v>3.23</v>
      </c>
      <c r="M5">
        <v>3.33</v>
      </c>
      <c r="P5" s="5">
        <f t="shared" ref="P5:P12" si="4">IFERROR(STDEVA(D5:H5),#N/A)</f>
        <v>0.21347130954767668</v>
      </c>
      <c r="Q5">
        <f t="shared" ref="Q5:Q12" si="5">MEDIAN(D5:H5)</f>
        <v>2.5499999999999998</v>
      </c>
      <c r="R5" s="2">
        <f t="shared" ref="R5:R12" si="6">MAX(J5:O5)</f>
        <v>3.33</v>
      </c>
      <c r="S5" s="27">
        <f t="shared" si="0"/>
        <v>30.588235294117659</v>
      </c>
      <c r="AF5" s="5" t="e">
        <f t="shared" si="1"/>
        <v>#N/A</v>
      </c>
      <c r="AU5" s="5" t="e">
        <f t="shared" si="2"/>
        <v>#N/A</v>
      </c>
      <c r="BJ5" s="5" t="e">
        <f t="shared" si="3"/>
        <v>#N/A</v>
      </c>
    </row>
    <row r="6" spans="1:66" x14ac:dyDescent="0.25">
      <c r="A6" s="68"/>
      <c r="B6" s="3" t="s">
        <v>100</v>
      </c>
      <c r="C6" s="21" t="s">
        <v>103</v>
      </c>
      <c r="D6">
        <v>2.54</v>
      </c>
      <c r="E6">
        <v>2.59</v>
      </c>
      <c r="F6">
        <v>2.35</v>
      </c>
      <c r="G6">
        <v>2.59</v>
      </c>
      <c r="H6">
        <v>2.71</v>
      </c>
      <c r="I6">
        <v>1.48</v>
      </c>
      <c r="J6">
        <v>3.45</v>
      </c>
      <c r="K6">
        <v>3.37</v>
      </c>
      <c r="L6">
        <v>3.34</v>
      </c>
      <c r="M6">
        <v>3.15</v>
      </c>
      <c r="P6" s="5">
        <f t="shared" si="4"/>
        <v>0.13107249902248749</v>
      </c>
      <c r="Q6">
        <f t="shared" si="5"/>
        <v>2.59</v>
      </c>
      <c r="R6" s="2">
        <f t="shared" si="6"/>
        <v>3.45</v>
      </c>
      <c r="S6" s="27">
        <f t="shared" si="0"/>
        <v>33.204633204633218</v>
      </c>
      <c r="AF6" s="5" t="e">
        <f t="shared" si="1"/>
        <v>#N/A</v>
      </c>
      <c r="AU6" s="5" t="e">
        <f t="shared" si="2"/>
        <v>#N/A</v>
      </c>
      <c r="BJ6" s="5" t="e">
        <f t="shared" si="3"/>
        <v>#N/A</v>
      </c>
    </row>
    <row r="7" spans="1:66" x14ac:dyDescent="0.25">
      <c r="A7" s="68"/>
      <c r="B7" s="3" t="s">
        <v>100</v>
      </c>
      <c r="C7" s="21" t="s">
        <v>104</v>
      </c>
      <c r="D7">
        <v>2.0299999999999998</v>
      </c>
      <c r="E7">
        <v>2.23</v>
      </c>
      <c r="F7">
        <v>2.34</v>
      </c>
      <c r="G7">
        <v>2.23</v>
      </c>
      <c r="H7">
        <v>2.4900000000000002</v>
      </c>
      <c r="I7">
        <v>0.86</v>
      </c>
      <c r="J7">
        <v>3</v>
      </c>
      <c r="K7">
        <v>3.05</v>
      </c>
      <c r="L7">
        <v>2.63</v>
      </c>
      <c r="M7">
        <v>2.64</v>
      </c>
      <c r="P7" s="5">
        <f t="shared" si="4"/>
        <v>0.16876018487783201</v>
      </c>
      <c r="Q7">
        <f t="shared" si="5"/>
        <v>2.23</v>
      </c>
      <c r="R7" s="2">
        <f t="shared" si="6"/>
        <v>3.05</v>
      </c>
      <c r="S7" s="27">
        <f t="shared" si="0"/>
        <v>36.771300448430488</v>
      </c>
      <c r="AF7" s="5" t="e">
        <f t="shared" si="1"/>
        <v>#N/A</v>
      </c>
      <c r="AU7" s="5" t="e">
        <f t="shared" si="2"/>
        <v>#N/A</v>
      </c>
      <c r="BJ7" s="5" t="e">
        <f t="shared" si="3"/>
        <v>#N/A</v>
      </c>
    </row>
    <row r="8" spans="1:66" x14ac:dyDescent="0.25">
      <c r="A8" s="68"/>
      <c r="B8" s="3" t="s">
        <v>100</v>
      </c>
      <c r="C8" s="21" t="s">
        <v>105</v>
      </c>
      <c r="D8">
        <v>1.49</v>
      </c>
      <c r="E8">
        <v>2.0499999999999998</v>
      </c>
      <c r="F8">
        <v>2.38</v>
      </c>
      <c r="G8">
        <v>2.42</v>
      </c>
      <c r="H8">
        <v>1.99</v>
      </c>
      <c r="I8">
        <v>1</v>
      </c>
      <c r="J8">
        <v>3.36</v>
      </c>
      <c r="K8">
        <v>3.28</v>
      </c>
      <c r="L8">
        <v>3.11</v>
      </c>
      <c r="M8">
        <v>2.97</v>
      </c>
      <c r="P8" s="5">
        <f t="shared" si="4"/>
        <v>0.37473990980412036</v>
      </c>
      <c r="Q8">
        <f t="shared" si="5"/>
        <v>2.0499999999999998</v>
      </c>
      <c r="R8" s="2">
        <f t="shared" si="6"/>
        <v>3.36</v>
      </c>
      <c r="S8" s="27">
        <f t="shared" si="0"/>
        <v>63.902439024390247</v>
      </c>
      <c r="AF8" s="5" t="e">
        <f t="shared" si="1"/>
        <v>#N/A</v>
      </c>
      <c r="AU8" s="5" t="e">
        <f t="shared" si="2"/>
        <v>#N/A</v>
      </c>
      <c r="BJ8" s="5" t="e">
        <f>IFERROR(STDEVA(AX8:BB8),#N/A)</f>
        <v>#N/A</v>
      </c>
    </row>
    <row r="9" spans="1:66" x14ac:dyDescent="0.25">
      <c r="A9" s="68"/>
      <c r="B9" s="3" t="s">
        <v>100</v>
      </c>
      <c r="C9" s="21" t="s">
        <v>106</v>
      </c>
      <c r="D9">
        <v>1.86</v>
      </c>
      <c r="E9">
        <v>1.88</v>
      </c>
      <c r="F9">
        <v>1.83</v>
      </c>
      <c r="G9">
        <v>1.91</v>
      </c>
      <c r="H9">
        <v>1.56</v>
      </c>
      <c r="I9">
        <v>2.0299999999999998</v>
      </c>
      <c r="J9">
        <v>2.91</v>
      </c>
      <c r="K9">
        <v>2.38</v>
      </c>
      <c r="L9">
        <v>1.99</v>
      </c>
      <c r="M9">
        <v>2.31</v>
      </c>
      <c r="P9" s="5">
        <f t="shared" si="4"/>
        <v>0.1416686274374111</v>
      </c>
      <c r="Q9">
        <f t="shared" si="5"/>
        <v>1.86</v>
      </c>
      <c r="R9" s="2">
        <f t="shared" si="6"/>
        <v>2.91</v>
      </c>
      <c r="S9" s="27">
        <f t="shared" si="0"/>
        <v>56.451612903225801</v>
      </c>
      <c r="AF9" s="5" t="e">
        <f t="shared" si="1"/>
        <v>#N/A</v>
      </c>
      <c r="AU9" s="5" t="e">
        <f t="shared" si="2"/>
        <v>#N/A</v>
      </c>
      <c r="BJ9" s="5" t="e">
        <f t="shared" si="3"/>
        <v>#N/A</v>
      </c>
    </row>
    <row r="10" spans="1:66" x14ac:dyDescent="0.25">
      <c r="A10" s="68"/>
      <c r="B10" s="3" t="s">
        <v>100</v>
      </c>
      <c r="C10" s="21" t="s">
        <v>107</v>
      </c>
      <c r="D10">
        <v>1.5</v>
      </c>
      <c r="E10">
        <v>2.1800000000000002</v>
      </c>
      <c r="F10">
        <v>1.35</v>
      </c>
      <c r="G10">
        <v>1.53</v>
      </c>
      <c r="H10">
        <v>1.46</v>
      </c>
      <c r="I10">
        <v>1.58</v>
      </c>
      <c r="J10">
        <v>2.83</v>
      </c>
      <c r="K10">
        <v>3.05</v>
      </c>
      <c r="L10">
        <v>2.74</v>
      </c>
      <c r="M10">
        <v>2.27</v>
      </c>
      <c r="P10" s="5">
        <f t="shared" si="4"/>
        <v>0.32913523056640487</v>
      </c>
      <c r="Q10">
        <f t="shared" si="5"/>
        <v>1.5</v>
      </c>
      <c r="R10" s="2">
        <f t="shared" si="6"/>
        <v>3.05</v>
      </c>
      <c r="S10" s="27">
        <f t="shared" si="0"/>
        <v>103.33333333333331</v>
      </c>
      <c r="AF10" s="5" t="e">
        <f t="shared" si="1"/>
        <v>#N/A</v>
      </c>
      <c r="AU10" s="5" t="e">
        <f t="shared" si="2"/>
        <v>#N/A</v>
      </c>
      <c r="BJ10" s="5" t="e">
        <f t="shared" si="3"/>
        <v>#N/A</v>
      </c>
    </row>
    <row r="11" spans="1:66" x14ac:dyDescent="0.25">
      <c r="A11" s="68"/>
      <c r="B11" s="3" t="s">
        <v>100</v>
      </c>
      <c r="C11" s="21" t="s">
        <v>108</v>
      </c>
      <c r="D11">
        <v>1.48</v>
      </c>
      <c r="E11">
        <v>1.62</v>
      </c>
      <c r="F11">
        <v>3.06</v>
      </c>
      <c r="G11">
        <v>3.06</v>
      </c>
      <c r="H11">
        <v>2.89</v>
      </c>
      <c r="I11">
        <v>0.89</v>
      </c>
      <c r="J11">
        <v>3.35</v>
      </c>
      <c r="K11">
        <v>3.18</v>
      </c>
      <c r="L11">
        <v>3.26</v>
      </c>
      <c r="M11">
        <v>3.22</v>
      </c>
      <c r="P11" s="5">
        <f t="shared" si="4"/>
        <v>0.80057479350776428</v>
      </c>
      <c r="Q11">
        <f t="shared" si="5"/>
        <v>2.89</v>
      </c>
      <c r="R11" s="2">
        <f t="shared" si="6"/>
        <v>3.35</v>
      </c>
      <c r="S11" s="27">
        <f t="shared" si="0"/>
        <v>15.916955017301037</v>
      </c>
      <c r="AF11" s="5" t="e">
        <f t="shared" si="1"/>
        <v>#N/A</v>
      </c>
      <c r="AU11" s="5" t="e">
        <f t="shared" si="2"/>
        <v>#N/A</v>
      </c>
      <c r="BJ11" s="5" t="e">
        <f t="shared" si="3"/>
        <v>#N/A</v>
      </c>
    </row>
    <row r="12" spans="1:66" x14ac:dyDescent="0.25">
      <c r="A12" s="68"/>
      <c r="B12" s="3" t="s">
        <v>100</v>
      </c>
      <c r="C12" s="21" t="s">
        <v>109</v>
      </c>
      <c r="D12">
        <v>1.7</v>
      </c>
      <c r="E12">
        <v>2.0699999999999998</v>
      </c>
      <c r="F12">
        <v>2.14</v>
      </c>
      <c r="G12">
        <v>2.1800000000000002</v>
      </c>
      <c r="H12">
        <v>1.94</v>
      </c>
      <c r="I12">
        <v>1.37</v>
      </c>
      <c r="J12">
        <v>2.37</v>
      </c>
      <c r="K12">
        <v>2.19</v>
      </c>
      <c r="L12">
        <v>2.06</v>
      </c>
      <c r="M12">
        <v>2.39</v>
      </c>
      <c r="N12">
        <v>2.04</v>
      </c>
      <c r="O12">
        <v>1.74</v>
      </c>
      <c r="P12" s="5">
        <f t="shared" si="4"/>
        <v>0.19385561637466175</v>
      </c>
      <c r="Q12">
        <f t="shared" si="5"/>
        <v>2.0699999999999998</v>
      </c>
      <c r="R12" s="2">
        <f t="shared" si="6"/>
        <v>2.39</v>
      </c>
      <c r="S12" s="27">
        <f t="shared" si="0"/>
        <v>15.458937198067648</v>
      </c>
      <c r="AF12" s="5" t="e">
        <f t="shared" si="1"/>
        <v>#N/A</v>
      </c>
      <c r="AU12" s="5" t="e">
        <f t="shared" si="2"/>
        <v>#N/A</v>
      </c>
      <c r="BJ12" s="5" t="e">
        <f t="shared" si="3"/>
        <v>#N/A</v>
      </c>
    </row>
    <row r="13" spans="1:66" x14ac:dyDescent="0.25">
      <c r="A13" s="68"/>
      <c r="B13" s="3"/>
      <c r="P13" s="31" t="s">
        <v>110</v>
      </c>
      <c r="Q13" s="30">
        <f>AVERAGE(Q4:Q12)</f>
        <v>2.1366666666666667</v>
      </c>
      <c r="R13" s="30">
        <f>AVERAGE(R4:R12)</f>
        <v>3.0244444444444447</v>
      </c>
      <c r="S13" s="29">
        <f>AVERAGE(S4:S12)</f>
        <v>45.778142816630435</v>
      </c>
      <c r="AF13" s="5" t="e">
        <f t="shared" si="1"/>
        <v>#N/A</v>
      </c>
      <c r="AU13" s="5" t="e">
        <f t="shared" si="2"/>
        <v>#N/A</v>
      </c>
      <c r="BJ13" s="5" t="e">
        <f t="shared" si="3"/>
        <v>#N/A</v>
      </c>
    </row>
    <row r="14" spans="1:66" x14ac:dyDescent="0.25">
      <c r="A14" s="68"/>
      <c r="B14" s="3"/>
      <c r="P14" s="31" t="s">
        <v>111</v>
      </c>
      <c r="Q14" s="29">
        <f>STDEVA(Q4:Q12)</f>
        <v>0.4827784170817907</v>
      </c>
      <c r="R14" s="29">
        <f>STDEVA(R4:R12)</f>
        <v>0.41716636702612664</v>
      </c>
      <c r="S14" s="29">
        <f>STDEVA(S4:S12)</f>
        <v>27.722325400836361</v>
      </c>
      <c r="AF14" s="5" t="e">
        <f t="shared" si="1"/>
        <v>#N/A</v>
      </c>
      <c r="AU14" s="5" t="e">
        <f>IFERROR(STDEVA(AI14:AM14),#N/A)</f>
        <v>#N/A</v>
      </c>
      <c r="BJ14" s="5" t="e">
        <f>IFERROR(STDEVA(AX14:BB14),#N/A)</f>
        <v>#N/A</v>
      </c>
    </row>
    <row r="15" spans="1:66" ht="16.5" thickBot="1" x14ac:dyDescent="0.3">
      <c r="A15" s="68"/>
      <c r="B15" s="3"/>
      <c r="P15" s="31" t="s">
        <v>112</v>
      </c>
      <c r="Q15" s="32">
        <f>Q14/Q13</f>
        <v>0.22594933716776475</v>
      </c>
      <c r="R15" s="32">
        <f>R14/R13</f>
        <v>0.13793156881833724</v>
      </c>
      <c r="S15" s="32">
        <f>S14/S13</f>
        <v>0.60557994918844338</v>
      </c>
      <c r="AF15" s="5" t="e">
        <f t="shared" si="1"/>
        <v>#N/A</v>
      </c>
      <c r="AU15" s="5" t="e">
        <f>IFERROR(STDEVA(AI15:AM15),#N/A)</f>
        <v>#N/A</v>
      </c>
      <c r="BJ15" s="5" t="e">
        <f>IFERROR(STDEVA(AX15:BB15),#N/A)</f>
        <v>#N/A</v>
      </c>
    </row>
    <row r="16" spans="1:66" x14ac:dyDescent="0.25">
      <c r="A16" s="4"/>
      <c r="B16" s="3"/>
      <c r="N16" s="9"/>
      <c r="O16" s="8" t="s">
        <v>113</v>
      </c>
      <c r="P16" s="10">
        <v>5</v>
      </c>
      <c r="Q16" s="15" t="s">
        <v>114</v>
      </c>
      <c r="R16" s="16"/>
      <c r="S16" s="16"/>
      <c r="T16" s="16"/>
      <c r="U16" s="17"/>
      <c r="AC16" s="9"/>
      <c r="AD16" s="9"/>
      <c r="AE16" s="8" t="s">
        <v>113</v>
      </c>
      <c r="AF16" s="10">
        <v>5</v>
      </c>
      <c r="AG16" s="15" t="s">
        <v>114</v>
      </c>
      <c r="AH16" s="16"/>
      <c r="AI16" s="11"/>
      <c r="AJ16" s="12"/>
      <c r="AR16" s="9"/>
      <c r="AS16" s="9"/>
      <c r="AT16" s="8" t="s">
        <v>113</v>
      </c>
      <c r="AU16" s="10">
        <v>5</v>
      </c>
      <c r="AV16" s="15" t="s">
        <v>114</v>
      </c>
      <c r="AW16" s="16"/>
      <c r="AX16" s="11"/>
      <c r="AY16" s="12"/>
      <c r="BG16" s="9"/>
      <c r="BH16" s="9"/>
      <c r="BI16" s="8" t="s">
        <v>113</v>
      </c>
      <c r="BJ16" s="10">
        <v>5</v>
      </c>
      <c r="BK16" s="15" t="s">
        <v>114</v>
      </c>
      <c r="BL16" s="16"/>
      <c r="BM16" s="11"/>
      <c r="BN16" s="12"/>
    </row>
    <row r="17" spans="1:66" ht="16.5" thickBot="1" x14ac:dyDescent="0.3">
      <c r="A17" s="4"/>
      <c r="B17" s="3"/>
      <c r="N17" s="9"/>
      <c r="O17" s="8" t="s">
        <v>115</v>
      </c>
      <c r="P17" s="10">
        <v>9</v>
      </c>
      <c r="Q17" s="18" t="s">
        <v>114</v>
      </c>
      <c r="R17" s="13"/>
      <c r="S17" s="13"/>
      <c r="T17" s="13"/>
      <c r="U17" s="14"/>
      <c r="AC17" s="9"/>
      <c r="AD17" s="9"/>
      <c r="AE17" s="8" t="s">
        <v>115</v>
      </c>
      <c r="AF17" s="10">
        <v>10</v>
      </c>
      <c r="AG17" s="18" t="s">
        <v>114</v>
      </c>
      <c r="AH17" s="13"/>
      <c r="AI17" s="13"/>
      <c r="AJ17" s="14"/>
      <c r="AR17" s="9"/>
      <c r="AS17" s="9"/>
      <c r="AT17" s="8" t="s">
        <v>115</v>
      </c>
      <c r="AU17" s="10">
        <v>10</v>
      </c>
      <c r="AV17" s="18" t="s">
        <v>114</v>
      </c>
      <c r="AW17" s="13"/>
      <c r="AX17" s="13"/>
      <c r="AY17" s="14"/>
      <c r="BG17" s="9"/>
      <c r="BH17" s="9"/>
      <c r="BI17" s="8" t="s">
        <v>115</v>
      </c>
      <c r="BJ17" s="10">
        <v>10</v>
      </c>
      <c r="BK17" s="18" t="s">
        <v>114</v>
      </c>
      <c r="BL17" s="13"/>
      <c r="BM17" s="13"/>
      <c r="BN17" s="14"/>
    </row>
    <row r="18" spans="1:66" x14ac:dyDescent="0.25">
      <c r="A18" s="4"/>
      <c r="B18" s="3"/>
      <c r="O18" s="2" t="s">
        <v>116</v>
      </c>
      <c r="P18" s="27">
        <f>SQRT(AVERAGE(P4:P12))</f>
        <v>0.52786544603659824</v>
      </c>
      <c r="AE18" s="2" t="s">
        <v>116</v>
      </c>
      <c r="AF18" s="5" t="e">
        <f>SQRT(AVERAGE(AF4:AF15))</f>
        <v>#N/A</v>
      </c>
      <c r="AT18" s="2" t="s">
        <v>116</v>
      </c>
      <c r="AU18" s="5" t="e">
        <f>SQRT(AVERAGE(AU4:AU15))</f>
        <v>#N/A</v>
      </c>
      <c r="BI18" s="2" t="s">
        <v>116</v>
      </c>
      <c r="BJ18" s="5" t="e">
        <f>SQRT(AVERAGE(BJ4:BJ15))</f>
        <v>#N/A</v>
      </c>
    </row>
    <row r="19" spans="1:66" x14ac:dyDescent="0.25">
      <c r="A19" s="4"/>
      <c r="B19" s="3"/>
      <c r="O19" s="2" t="s">
        <v>117</v>
      </c>
      <c r="P19" s="27">
        <f>2.77*P18</f>
        <v>1.4621872855213771</v>
      </c>
      <c r="AE19" s="2" t="s">
        <v>117</v>
      </c>
      <c r="AF19" s="5" t="e">
        <f>2.77*AF18</f>
        <v>#N/A</v>
      </c>
      <c r="AT19" s="2" t="s">
        <v>117</v>
      </c>
      <c r="AU19" s="5" t="e">
        <f>2.77*AU18</f>
        <v>#N/A</v>
      </c>
      <c r="BI19" s="2" t="s">
        <v>117</v>
      </c>
      <c r="BJ19" s="5" t="e">
        <f>2.77*BJ18</f>
        <v>#N/A</v>
      </c>
    </row>
    <row r="20" spans="1:66" x14ac:dyDescent="0.25">
      <c r="A20" s="4"/>
      <c r="B20" s="3"/>
      <c r="O20" s="2" t="s">
        <v>118</v>
      </c>
      <c r="P20" s="27">
        <f>P19-(1.96*(P18/(SQRT(2*P17*(P16-1)))))</f>
        <v>1.340256588282174</v>
      </c>
      <c r="AE20" s="2" t="s">
        <v>118</v>
      </c>
      <c r="AF20" s="5" t="e">
        <f>AF19-(1.96*(AF18/(SQRT(2*AF17*(AF16-1)))))</f>
        <v>#N/A</v>
      </c>
      <c r="AT20" s="2" t="s">
        <v>118</v>
      </c>
      <c r="AU20" s="5" t="e">
        <f>AU19-(1.96*(AU18/(SQRT(2*AU17*(AU16-1)))))</f>
        <v>#N/A</v>
      </c>
      <c r="BI20" s="2" t="s">
        <v>118</v>
      </c>
      <c r="BJ20" s="5" t="e">
        <f>BJ19-(1.96*(BJ18/(SQRT(2*BJ17*(BJ16-1)))))</f>
        <v>#N/A</v>
      </c>
    </row>
    <row r="21" spans="1:66" s="24" customFormat="1" x14ac:dyDescent="0.25">
      <c r="A21" s="22"/>
      <c r="B21" s="23"/>
      <c r="O21" s="25" t="s">
        <v>119</v>
      </c>
      <c r="P21" s="33">
        <f>P19+(1.96*(P18/(SQRT(2*P17*(P16-1)))))</f>
        <v>1.5841179827605802</v>
      </c>
      <c r="AE21" s="25" t="s">
        <v>119</v>
      </c>
      <c r="AF21" s="26" t="e">
        <f>AF19+(1.96*(AF18/(SQRT(2*AF17*(AF16-1)))))</f>
        <v>#N/A</v>
      </c>
      <c r="AT21" s="25" t="s">
        <v>119</v>
      </c>
      <c r="AU21" s="26" t="e">
        <f>AU19+(1.96*(AU18/(SQRT(2*AU17*(AU16-1)))))</f>
        <v>#N/A</v>
      </c>
      <c r="BI21" s="25" t="s">
        <v>119</v>
      </c>
      <c r="BJ21" s="26" t="e">
        <f>BJ19+(1.96*(BJ18/(SQRT(2*BJ17*(BJ16-1)))))</f>
        <v>#N/A</v>
      </c>
    </row>
    <row r="22" spans="1:66" s="40" customFormat="1" x14ac:dyDescent="0.25">
      <c r="A22" s="41"/>
      <c r="B22" s="39"/>
      <c r="O22" s="42"/>
      <c r="P22" s="43"/>
      <c r="AE22" s="42"/>
      <c r="AF22" s="43"/>
      <c r="AT22" s="42"/>
      <c r="AU22" s="43"/>
      <c r="BI22" s="42"/>
      <c r="BJ22" s="43"/>
    </row>
    <row r="23" spans="1:66" x14ac:dyDescent="0.25">
      <c r="A23" s="73" t="s">
        <v>120</v>
      </c>
      <c r="B23" s="3" t="s">
        <v>100</v>
      </c>
      <c r="C23" s="21" t="s">
        <v>121</v>
      </c>
      <c r="D23">
        <v>2.06</v>
      </c>
      <c r="E23">
        <v>1.86</v>
      </c>
      <c r="F23">
        <v>2.16</v>
      </c>
      <c r="G23">
        <v>2.38</v>
      </c>
      <c r="H23">
        <v>2.63</v>
      </c>
      <c r="I23">
        <v>0.61</v>
      </c>
      <c r="J23">
        <v>3.02</v>
      </c>
      <c r="K23">
        <v>2.61</v>
      </c>
      <c r="L23">
        <v>2.64</v>
      </c>
      <c r="M23">
        <v>2.7</v>
      </c>
      <c r="P23" s="5">
        <f t="shared" ref="P23:P29" si="7">IFERROR(STDEVA(D23:H23),#N/A)</f>
        <v>0.29685013053727966</v>
      </c>
      <c r="Q23">
        <f>MEDIAN(D23:H23)</f>
        <v>2.16</v>
      </c>
      <c r="R23" s="2">
        <f>MAX(J23:O23)</f>
        <v>3.02</v>
      </c>
      <c r="S23" s="27">
        <f>100*(R23-Q23)/Q23</f>
        <v>39.814814814814802</v>
      </c>
    </row>
    <row r="24" spans="1:66" x14ac:dyDescent="0.25">
      <c r="A24" s="73"/>
      <c r="B24" s="3" t="s">
        <v>100</v>
      </c>
      <c r="C24" s="21" t="s">
        <v>122</v>
      </c>
      <c r="D24">
        <v>1.65</v>
      </c>
      <c r="E24">
        <v>2.59</v>
      </c>
      <c r="F24">
        <v>2.5</v>
      </c>
      <c r="G24">
        <v>2.4</v>
      </c>
      <c r="H24">
        <v>2.16</v>
      </c>
      <c r="I24">
        <v>0.92</v>
      </c>
      <c r="J24">
        <v>3.28</v>
      </c>
      <c r="K24">
        <v>3.27</v>
      </c>
      <c r="L24">
        <v>3.18</v>
      </c>
      <c r="M24">
        <v>3.17</v>
      </c>
      <c r="P24" s="5">
        <f t="shared" si="7"/>
        <v>0.37689521090085298</v>
      </c>
      <c r="Q24">
        <f t="shared" ref="Q24:Q29" si="8">MEDIAN(D24:H24)</f>
        <v>2.4</v>
      </c>
      <c r="R24" s="2">
        <f t="shared" ref="R24:R29" si="9">MAX(J24:O24)</f>
        <v>3.28</v>
      </c>
      <c r="S24" s="27">
        <f t="shared" ref="S24:S29" si="10">100*(R24-Q24)/Q24</f>
        <v>36.666666666666664</v>
      </c>
    </row>
    <row r="25" spans="1:66" x14ac:dyDescent="0.25">
      <c r="A25" s="73"/>
      <c r="B25" s="3" t="s">
        <v>100</v>
      </c>
      <c r="C25" s="21" t="s">
        <v>123</v>
      </c>
      <c r="D25">
        <v>0.71</v>
      </c>
      <c r="E25">
        <v>1.28</v>
      </c>
      <c r="F25">
        <v>0.81</v>
      </c>
      <c r="G25">
        <v>1.34</v>
      </c>
      <c r="H25">
        <v>1.82</v>
      </c>
      <c r="I25">
        <v>0.69</v>
      </c>
      <c r="J25">
        <v>2.6</v>
      </c>
      <c r="K25">
        <v>2.64</v>
      </c>
      <c r="L25">
        <v>3.04</v>
      </c>
      <c r="M25">
        <v>2.09</v>
      </c>
      <c r="P25" s="5">
        <f t="shared" si="7"/>
        <v>0.44785042145787957</v>
      </c>
      <c r="Q25">
        <f t="shared" si="8"/>
        <v>1.28</v>
      </c>
      <c r="R25" s="2">
        <f t="shared" si="9"/>
        <v>3.04</v>
      </c>
      <c r="S25" s="27">
        <f t="shared" si="10"/>
        <v>137.5</v>
      </c>
    </row>
    <row r="26" spans="1:66" x14ac:dyDescent="0.25">
      <c r="A26" s="73"/>
      <c r="B26" s="3" t="s">
        <v>100</v>
      </c>
      <c r="C26" s="21" t="s">
        <v>124</v>
      </c>
      <c r="D26">
        <v>2.0299999999999998</v>
      </c>
      <c r="E26">
        <v>2.2799999999999998</v>
      </c>
      <c r="F26">
        <v>2.61</v>
      </c>
      <c r="G26">
        <v>2.37</v>
      </c>
      <c r="H26">
        <v>2.5</v>
      </c>
      <c r="I26">
        <v>0.78</v>
      </c>
      <c r="J26">
        <v>2.81</v>
      </c>
      <c r="K26">
        <v>2.46</v>
      </c>
      <c r="L26">
        <v>2.4700000000000002</v>
      </c>
      <c r="M26">
        <v>2.41</v>
      </c>
      <c r="N26">
        <v>2.5099999999999998</v>
      </c>
      <c r="O26">
        <v>2.48</v>
      </c>
      <c r="P26" s="5">
        <f t="shared" si="7"/>
        <v>0.22219360926903373</v>
      </c>
      <c r="Q26">
        <f t="shared" si="8"/>
        <v>2.37</v>
      </c>
      <c r="R26" s="2">
        <f t="shared" si="9"/>
        <v>2.81</v>
      </c>
      <c r="S26" s="27">
        <f t="shared" si="10"/>
        <v>18.565400843881854</v>
      </c>
      <c r="T26">
        <v>2.0299999999999998</v>
      </c>
      <c r="U26">
        <v>2.06</v>
      </c>
      <c r="V26">
        <v>1.87</v>
      </c>
      <c r="W26">
        <v>1.81</v>
      </c>
      <c r="X26">
        <v>2.3199999999999998</v>
      </c>
      <c r="Y26">
        <v>1.1000000000000001</v>
      </c>
      <c r="Z26">
        <v>2.6</v>
      </c>
      <c r="AA26">
        <v>2.63</v>
      </c>
      <c r="AB26">
        <v>2.62</v>
      </c>
      <c r="AC26">
        <v>2.4700000000000002</v>
      </c>
      <c r="AD26">
        <v>2.59</v>
      </c>
      <c r="AE26">
        <v>2.61</v>
      </c>
      <c r="AI26">
        <v>2.35</v>
      </c>
      <c r="AJ26">
        <v>2.66</v>
      </c>
      <c r="AK26">
        <v>2.52</v>
      </c>
      <c r="AL26">
        <v>2.2400000000000002</v>
      </c>
      <c r="AM26">
        <v>2.29</v>
      </c>
      <c r="AN26">
        <v>1.46</v>
      </c>
      <c r="AO26">
        <v>2.35</v>
      </c>
      <c r="AP26">
        <v>2.52</v>
      </c>
      <c r="AQ26">
        <v>2.66</v>
      </c>
      <c r="AR26">
        <v>2.42</v>
      </c>
      <c r="AS26">
        <v>2.67</v>
      </c>
      <c r="AT26">
        <v>2.59</v>
      </c>
      <c r="AX26">
        <v>2.46</v>
      </c>
      <c r="AY26">
        <v>2.36</v>
      </c>
      <c r="AZ26">
        <v>2.41</v>
      </c>
      <c r="BA26">
        <v>2.5099999999999998</v>
      </c>
      <c r="BB26">
        <v>2.6</v>
      </c>
      <c r="BC26">
        <v>0.94</v>
      </c>
      <c r="BD26">
        <v>2.67</v>
      </c>
      <c r="BE26">
        <v>2.58</v>
      </c>
      <c r="BF26">
        <v>2.65</v>
      </c>
      <c r="BG26">
        <v>2.68</v>
      </c>
      <c r="BH26">
        <v>2.71</v>
      </c>
      <c r="BI26">
        <v>2.68</v>
      </c>
    </row>
    <row r="27" spans="1:66" x14ac:dyDescent="0.25">
      <c r="A27" s="73"/>
      <c r="B27" s="3" t="s">
        <v>100</v>
      </c>
      <c r="C27" s="21" t="s">
        <v>125</v>
      </c>
      <c r="D27">
        <v>2.46</v>
      </c>
      <c r="E27">
        <v>1.28</v>
      </c>
      <c r="F27">
        <v>2.75</v>
      </c>
      <c r="G27">
        <v>2.8</v>
      </c>
      <c r="H27">
        <v>2.73</v>
      </c>
      <c r="I27">
        <v>1.33</v>
      </c>
      <c r="J27">
        <v>2.13</v>
      </c>
      <c r="K27">
        <v>1.84</v>
      </c>
      <c r="L27">
        <v>1.9</v>
      </c>
      <c r="M27">
        <v>1.76</v>
      </c>
      <c r="N27">
        <v>2.29</v>
      </c>
      <c r="O27">
        <v>2.06</v>
      </c>
      <c r="P27" s="5">
        <f t="shared" si="7"/>
        <v>0.64212927047441082</v>
      </c>
      <c r="Q27">
        <f t="shared" si="8"/>
        <v>2.73</v>
      </c>
      <c r="R27" s="2">
        <f t="shared" si="9"/>
        <v>2.29</v>
      </c>
      <c r="S27" s="27">
        <f t="shared" si="10"/>
        <v>-16.117216117216113</v>
      </c>
    </row>
    <row r="28" spans="1:66" x14ac:dyDescent="0.25">
      <c r="A28" s="73"/>
      <c r="B28" s="3" t="s">
        <v>100</v>
      </c>
      <c r="C28" s="21" t="s">
        <v>126</v>
      </c>
      <c r="D28">
        <v>0.93</v>
      </c>
      <c r="E28">
        <v>1.49</v>
      </c>
      <c r="F28">
        <v>1.68</v>
      </c>
      <c r="G28">
        <v>1.73</v>
      </c>
      <c r="H28">
        <v>1.38</v>
      </c>
      <c r="I28">
        <v>1.5</v>
      </c>
      <c r="J28">
        <v>1.28</v>
      </c>
      <c r="K28">
        <v>2.0699999999999998</v>
      </c>
      <c r="L28">
        <v>2.2799999999999998</v>
      </c>
      <c r="M28">
        <v>2.21</v>
      </c>
      <c r="N28">
        <v>2.2400000000000002</v>
      </c>
      <c r="O28">
        <v>2.02</v>
      </c>
      <c r="P28" s="5">
        <f t="shared" si="7"/>
        <v>0.3193274181776436</v>
      </c>
      <c r="Q28">
        <f t="shared" si="8"/>
        <v>1.49</v>
      </c>
      <c r="R28" s="2">
        <f t="shared" si="9"/>
        <v>2.2799999999999998</v>
      </c>
      <c r="S28" s="27">
        <f t="shared" si="10"/>
        <v>53.020134228187914</v>
      </c>
    </row>
    <row r="29" spans="1:66" x14ac:dyDescent="0.25">
      <c r="A29" s="73"/>
      <c r="B29" s="3" t="s">
        <v>100</v>
      </c>
      <c r="C29" s="21" t="s">
        <v>127</v>
      </c>
      <c r="D29">
        <v>2.12</v>
      </c>
      <c r="E29">
        <v>1.52</v>
      </c>
      <c r="F29">
        <v>1.27</v>
      </c>
      <c r="G29">
        <v>1.48</v>
      </c>
      <c r="H29">
        <v>1.32</v>
      </c>
      <c r="I29">
        <v>1.36</v>
      </c>
      <c r="J29">
        <v>2.2000000000000002</v>
      </c>
      <c r="K29">
        <v>1.66</v>
      </c>
      <c r="L29">
        <v>1.1599999999999999</v>
      </c>
      <c r="M29">
        <v>1.49</v>
      </c>
      <c r="N29">
        <v>1.63</v>
      </c>
      <c r="O29">
        <v>1.26</v>
      </c>
      <c r="P29" s="5">
        <f t="shared" si="7"/>
        <v>0.33973519099439703</v>
      </c>
      <c r="Q29">
        <f t="shared" si="8"/>
        <v>1.48</v>
      </c>
      <c r="R29" s="2">
        <f t="shared" si="9"/>
        <v>2.2000000000000002</v>
      </c>
      <c r="S29" s="27">
        <f t="shared" si="10"/>
        <v>48.64864864864866</v>
      </c>
    </row>
    <row r="30" spans="1:66" x14ac:dyDescent="0.25">
      <c r="A30" s="73"/>
      <c r="B30" s="3"/>
      <c r="P30" s="31" t="s">
        <v>110</v>
      </c>
      <c r="Q30" s="29">
        <f>AVERAGE(Q23:Q29)</f>
        <v>1.9871428571428573</v>
      </c>
      <c r="R30" s="30">
        <f>AVERAGE(R21:R29)</f>
        <v>2.7028571428571433</v>
      </c>
      <c r="S30" s="29">
        <f>AVERAGE(S23:S29)</f>
        <v>45.442635583569107</v>
      </c>
    </row>
    <row r="31" spans="1:66" x14ac:dyDescent="0.25">
      <c r="A31" s="73"/>
      <c r="B31" s="3"/>
      <c r="P31" s="31" t="s">
        <v>111</v>
      </c>
      <c r="Q31" s="29">
        <f>STDEVA(Q19:Q29)</f>
        <v>0.56319665853987</v>
      </c>
      <c r="R31" s="29">
        <f>STDEVA(R21:R29)</f>
        <v>0.43987552351827186</v>
      </c>
      <c r="S31" s="29">
        <f>STDEVA(S23:S29)</f>
        <v>46.838279278265546</v>
      </c>
    </row>
    <row r="32" spans="1:66" ht="16.5" thickBot="1" x14ac:dyDescent="0.3">
      <c r="A32" s="73"/>
      <c r="B32" s="3"/>
      <c r="P32" s="31" t="s">
        <v>112</v>
      </c>
      <c r="Q32" s="32">
        <f>Q31/Q30</f>
        <v>0.2834203170222207</v>
      </c>
      <c r="R32" s="32">
        <f>R31/R30</f>
        <v>0.16274464400781727</v>
      </c>
      <c r="S32" s="32">
        <f>S31/S30</f>
        <v>1.0307122084089917</v>
      </c>
    </row>
    <row r="33" spans="1:66" x14ac:dyDescent="0.25">
      <c r="A33" s="4"/>
      <c r="B33" s="3"/>
      <c r="N33" s="9"/>
      <c r="O33" s="8" t="s">
        <v>113</v>
      </c>
      <c r="P33" s="10">
        <v>5</v>
      </c>
      <c r="Q33" s="15" t="s">
        <v>114</v>
      </c>
      <c r="R33" s="16"/>
      <c r="S33" s="16"/>
      <c r="T33" s="16"/>
      <c r="U33" s="17"/>
      <c r="AC33" s="9"/>
      <c r="AD33" s="9"/>
      <c r="AE33" s="8" t="s">
        <v>113</v>
      </c>
      <c r="AF33" s="10">
        <v>5</v>
      </c>
      <c r="AG33" s="15" t="s">
        <v>114</v>
      </c>
      <c r="AH33" s="16"/>
      <c r="AI33" s="11"/>
      <c r="AJ33" s="12"/>
      <c r="AR33" s="9"/>
      <c r="AS33" s="9"/>
      <c r="AT33" s="8" t="s">
        <v>113</v>
      </c>
      <c r="AU33" s="10">
        <v>5</v>
      </c>
      <c r="AV33" s="15" t="s">
        <v>114</v>
      </c>
      <c r="AW33" s="16"/>
      <c r="AX33" s="11"/>
      <c r="AY33" s="12"/>
      <c r="BG33" s="9"/>
      <c r="BH33" s="9"/>
      <c r="BI33" s="8" t="s">
        <v>113</v>
      </c>
      <c r="BJ33" s="10">
        <v>5</v>
      </c>
      <c r="BK33" s="15" t="s">
        <v>114</v>
      </c>
      <c r="BL33" s="16"/>
      <c r="BM33" s="11"/>
      <c r="BN33" s="12"/>
    </row>
    <row r="34" spans="1:66" ht="16.5" thickBot="1" x14ac:dyDescent="0.3">
      <c r="A34" s="4"/>
      <c r="B34" s="3"/>
      <c r="N34" s="9"/>
      <c r="O34" s="8" t="s">
        <v>115</v>
      </c>
      <c r="P34" s="10">
        <v>7</v>
      </c>
      <c r="Q34" s="18" t="s">
        <v>114</v>
      </c>
      <c r="R34" s="13"/>
      <c r="S34" s="13"/>
      <c r="T34" s="13"/>
      <c r="U34" s="14"/>
      <c r="AC34" s="9"/>
      <c r="AD34" s="9"/>
      <c r="AE34" s="8" t="s">
        <v>115</v>
      </c>
      <c r="AF34" s="10">
        <v>10</v>
      </c>
      <c r="AG34" s="18" t="s">
        <v>114</v>
      </c>
      <c r="AH34" s="13"/>
      <c r="AI34" s="13"/>
      <c r="AJ34" s="14"/>
      <c r="AR34" s="9"/>
      <c r="AS34" s="9"/>
      <c r="AT34" s="8" t="s">
        <v>115</v>
      </c>
      <c r="AU34" s="10">
        <v>10</v>
      </c>
      <c r="AV34" s="18" t="s">
        <v>114</v>
      </c>
      <c r="AW34" s="13"/>
      <c r="AX34" s="13"/>
      <c r="AY34" s="14"/>
      <c r="BG34" s="9"/>
      <c r="BH34" s="9"/>
      <c r="BI34" s="8" t="s">
        <v>115</v>
      </c>
      <c r="BJ34" s="10">
        <v>10</v>
      </c>
      <c r="BK34" s="18" t="s">
        <v>114</v>
      </c>
      <c r="BL34" s="13"/>
      <c r="BM34" s="13"/>
      <c r="BN34" s="14"/>
    </row>
    <row r="35" spans="1:66" x14ac:dyDescent="0.25">
      <c r="A35" s="4"/>
      <c r="B35" s="3"/>
      <c r="O35" s="2" t="s">
        <v>116</v>
      </c>
      <c r="P35" s="27">
        <f>SQRT(AVERAGE(P23:P32))</f>
        <v>0.61469867784508825</v>
      </c>
      <c r="AE35" s="2" t="s">
        <v>116</v>
      </c>
      <c r="AF35" s="5" t="e">
        <f>SQRT(AVERAGE(AF23:AF32))</f>
        <v>#DIV/0!</v>
      </c>
      <c r="AT35" s="2" t="s">
        <v>116</v>
      </c>
      <c r="AU35" s="5" t="e">
        <f>SQRT(AVERAGE(AU23:AU32))</f>
        <v>#DIV/0!</v>
      </c>
      <c r="BI35" s="2" t="s">
        <v>116</v>
      </c>
      <c r="BJ35" s="5" t="e">
        <f>SQRT(AVERAGE(BJ23:BJ32))</f>
        <v>#DIV/0!</v>
      </c>
    </row>
    <row r="36" spans="1:66" x14ac:dyDescent="0.25">
      <c r="A36" s="4"/>
      <c r="B36" s="3"/>
      <c r="O36" s="2" t="s">
        <v>117</v>
      </c>
      <c r="P36" s="27">
        <f>2.77*P35</f>
        <v>1.7027153376308946</v>
      </c>
      <c r="AE36" s="2" t="s">
        <v>117</v>
      </c>
      <c r="AF36" s="5" t="e">
        <f>2.77*AF35</f>
        <v>#DIV/0!</v>
      </c>
      <c r="AT36" s="2" t="s">
        <v>117</v>
      </c>
      <c r="AU36" s="5" t="e">
        <f>2.77*AU35</f>
        <v>#DIV/0!</v>
      </c>
      <c r="BI36" s="2" t="s">
        <v>117</v>
      </c>
      <c r="BJ36" s="5" t="e">
        <f>2.77*BJ35</f>
        <v>#DIV/0!</v>
      </c>
    </row>
    <row r="37" spans="1:66" x14ac:dyDescent="0.25">
      <c r="A37" s="4"/>
      <c r="B37" s="3"/>
      <c r="O37" s="2" t="s">
        <v>118</v>
      </c>
      <c r="P37" s="27">
        <f>P36-(1.96*(P35/(SQRT(2*P34*(P33-1)))))</f>
        <v>1.5417159082289471</v>
      </c>
      <c r="AE37" s="2" t="s">
        <v>118</v>
      </c>
      <c r="AF37" s="5" t="e">
        <f>AF36-(1.96*(AF35/(SQRT(2*AF34*(AF33-1)))))</f>
        <v>#DIV/0!</v>
      </c>
      <c r="AT37" s="2" t="s">
        <v>118</v>
      </c>
      <c r="AU37" s="5" t="e">
        <f>AU36-(1.96*(AU35/(SQRT(2*AU34*(AU33-1)))))</f>
        <v>#DIV/0!</v>
      </c>
      <c r="BI37" s="2" t="s">
        <v>118</v>
      </c>
      <c r="BJ37" s="5" t="e">
        <f>BJ36-(1.96*(BJ35/(SQRT(2*BJ34*(BJ33-1)))))</f>
        <v>#DIV/0!</v>
      </c>
    </row>
    <row r="38" spans="1:66" x14ac:dyDescent="0.25">
      <c r="A38" s="4"/>
      <c r="B38" s="3"/>
      <c r="O38" s="2" t="s">
        <v>119</v>
      </c>
      <c r="P38" s="27">
        <f>P36+(1.96*(P35/(SQRT(2*P34*(P33-1)))))</f>
        <v>1.863714767032842</v>
      </c>
      <c r="AE38" s="2" t="s">
        <v>119</v>
      </c>
      <c r="AF38" s="5" t="e">
        <f>AF36+(1.96*(AF35/(SQRT(2*AF34*(AF33-1)))))</f>
        <v>#DIV/0!</v>
      </c>
      <c r="AT38" s="2" t="s">
        <v>119</v>
      </c>
      <c r="AU38" s="5" t="e">
        <f>AU36+(1.96*(AU35/(SQRT(2*AU34*(AU33-1)))))</f>
        <v>#DIV/0!</v>
      </c>
      <c r="BI38" s="2" t="s">
        <v>119</v>
      </c>
      <c r="BJ38" s="5" t="e">
        <f>BJ36+(1.96*(BJ35/(SQRT(2*BJ34*(BJ33-1)))))</f>
        <v>#DIV/0!</v>
      </c>
    </row>
    <row r="39" spans="1:66" s="40" customFormat="1" x14ac:dyDescent="0.25">
      <c r="A39" s="41"/>
      <c r="B39" s="39"/>
      <c r="O39" s="42"/>
      <c r="P39" s="43"/>
      <c r="AE39" s="42"/>
      <c r="AF39" s="43"/>
      <c r="AT39" s="42"/>
      <c r="AU39" s="43"/>
      <c r="BI39" s="42"/>
      <c r="BJ39" s="43"/>
    </row>
    <row r="40" spans="1:66" x14ac:dyDescent="0.25">
      <c r="A40" s="68" t="s">
        <v>128</v>
      </c>
      <c r="B40" s="3" t="s">
        <v>100</v>
      </c>
      <c r="C40" s="21" t="s">
        <v>129</v>
      </c>
      <c r="D40">
        <v>2.21</v>
      </c>
      <c r="E40">
        <v>2.5499999999999998</v>
      </c>
      <c r="F40">
        <v>2.48</v>
      </c>
      <c r="G40">
        <v>2.73</v>
      </c>
      <c r="H40">
        <v>2.5099999999999998</v>
      </c>
      <c r="I40">
        <v>1.02</v>
      </c>
      <c r="J40">
        <v>3.04</v>
      </c>
      <c r="K40">
        <v>2.82</v>
      </c>
      <c r="L40">
        <v>2.94</v>
      </c>
      <c r="M40">
        <v>2.78</v>
      </c>
      <c r="P40" s="5">
        <f t="shared" ref="P40:P50" si="11">IFERROR(STDEVA(D40:H40),#N/A)</f>
        <v>0.18702940945209662</v>
      </c>
      <c r="Q40">
        <f>MEDIAN(D40:H40)</f>
        <v>2.5099999999999998</v>
      </c>
      <c r="R40" s="2">
        <f t="shared" ref="R40:R50" si="12">MAX(J40:O40)</f>
        <v>3.04</v>
      </c>
      <c r="S40" s="27">
        <f t="shared" ref="S40:S50" si="13">100*(R40-Q40)/Q40</f>
        <v>21.115537848605591</v>
      </c>
    </row>
    <row r="41" spans="1:66" x14ac:dyDescent="0.25">
      <c r="A41" s="68"/>
      <c r="B41" s="3" t="s">
        <v>100</v>
      </c>
      <c r="C41" s="21" t="s">
        <v>130</v>
      </c>
      <c r="D41">
        <v>1.47</v>
      </c>
      <c r="E41">
        <v>1.1299999999999999</v>
      </c>
      <c r="F41">
        <v>0.94</v>
      </c>
      <c r="G41">
        <v>0.9</v>
      </c>
      <c r="H41">
        <v>1.18</v>
      </c>
      <c r="I41">
        <v>0.86</v>
      </c>
      <c r="J41">
        <v>3.29</v>
      </c>
      <c r="K41">
        <v>3.02</v>
      </c>
      <c r="L41">
        <v>2.4</v>
      </c>
      <c r="M41">
        <v>2</v>
      </c>
      <c r="P41" s="5">
        <f t="shared" si="11"/>
        <v>0.2274423003752826</v>
      </c>
      <c r="Q41">
        <f t="shared" ref="Q41:Q50" si="14">MEDIAN(D41:H41)</f>
        <v>1.1299999999999999</v>
      </c>
      <c r="R41" s="2">
        <f t="shared" si="12"/>
        <v>3.29</v>
      </c>
      <c r="S41" s="27">
        <f t="shared" si="13"/>
        <v>191.15044247787611</v>
      </c>
    </row>
    <row r="42" spans="1:66" x14ac:dyDescent="0.25">
      <c r="A42" s="68"/>
      <c r="B42" s="3" t="s">
        <v>100</v>
      </c>
      <c r="C42" s="21" t="s">
        <v>131</v>
      </c>
      <c r="D42">
        <v>1.54</v>
      </c>
      <c r="E42">
        <v>1.6</v>
      </c>
      <c r="F42">
        <v>1.47</v>
      </c>
      <c r="G42">
        <v>1.97</v>
      </c>
      <c r="H42">
        <v>1.91</v>
      </c>
      <c r="I42">
        <v>1.61</v>
      </c>
      <c r="J42">
        <v>2.66</v>
      </c>
      <c r="K42">
        <v>2.42</v>
      </c>
      <c r="L42">
        <v>2.27</v>
      </c>
      <c r="M42">
        <v>2.23</v>
      </c>
      <c r="N42">
        <v>1.79</v>
      </c>
      <c r="O42">
        <v>2.4700000000000002</v>
      </c>
      <c r="P42" s="5">
        <f t="shared" si="11"/>
        <v>0.22664950915455326</v>
      </c>
      <c r="Q42">
        <f t="shared" si="14"/>
        <v>1.6</v>
      </c>
      <c r="R42" s="2">
        <f t="shared" si="12"/>
        <v>2.66</v>
      </c>
      <c r="S42" s="27">
        <f t="shared" si="13"/>
        <v>66.25</v>
      </c>
      <c r="T42">
        <v>2.17</v>
      </c>
      <c r="U42">
        <v>1.59</v>
      </c>
      <c r="V42">
        <v>1.79</v>
      </c>
      <c r="W42">
        <v>1.45</v>
      </c>
      <c r="X42">
        <v>1.73</v>
      </c>
      <c r="Y42">
        <v>1.03</v>
      </c>
      <c r="Z42">
        <v>2.63</v>
      </c>
      <c r="AA42">
        <v>2.61</v>
      </c>
      <c r="AB42">
        <v>2.4700000000000002</v>
      </c>
      <c r="AC42">
        <v>2.21</v>
      </c>
      <c r="AD42">
        <v>1.96</v>
      </c>
      <c r="AE42">
        <v>2.16</v>
      </c>
      <c r="AI42">
        <v>1.59</v>
      </c>
      <c r="AJ42">
        <v>2.0499999999999998</v>
      </c>
      <c r="AK42">
        <v>2.21</v>
      </c>
      <c r="AL42">
        <v>2.2400000000000002</v>
      </c>
      <c r="AM42">
        <v>2.4500000000000002</v>
      </c>
      <c r="AN42">
        <v>1.1599999999999999</v>
      </c>
      <c r="AO42">
        <v>2.5299999999999998</v>
      </c>
      <c r="AP42">
        <v>2.36</v>
      </c>
      <c r="AQ42">
        <v>2.35</v>
      </c>
      <c r="AR42">
        <v>2.2599999999999998</v>
      </c>
      <c r="AS42">
        <v>2.16</v>
      </c>
      <c r="AT42">
        <v>2.13</v>
      </c>
      <c r="AX42">
        <v>1.72</v>
      </c>
      <c r="AY42">
        <v>1.81</v>
      </c>
      <c r="AZ42">
        <v>2.2200000000000002</v>
      </c>
      <c r="BA42">
        <v>2.2599999999999998</v>
      </c>
      <c r="BB42">
        <v>2.21</v>
      </c>
      <c r="BC42">
        <v>1.21</v>
      </c>
      <c r="BD42">
        <v>2.56</v>
      </c>
      <c r="BE42">
        <v>2.56</v>
      </c>
      <c r="BF42">
        <v>2.37</v>
      </c>
      <c r="BG42">
        <v>2.29</v>
      </c>
      <c r="BH42">
        <v>2.34</v>
      </c>
      <c r="BI42">
        <v>2.46</v>
      </c>
    </row>
    <row r="43" spans="1:66" x14ac:dyDescent="0.25">
      <c r="A43" s="68"/>
      <c r="B43" s="3" t="s">
        <v>100</v>
      </c>
      <c r="C43" s="21" t="s">
        <v>132</v>
      </c>
      <c r="D43">
        <v>1.04</v>
      </c>
      <c r="E43">
        <v>0.91</v>
      </c>
      <c r="F43">
        <v>1.36</v>
      </c>
      <c r="G43">
        <v>1.36</v>
      </c>
      <c r="I43">
        <v>1.59</v>
      </c>
      <c r="J43">
        <v>2.4300000000000002</v>
      </c>
      <c r="K43">
        <v>1.98</v>
      </c>
      <c r="L43">
        <v>1.68</v>
      </c>
      <c r="M43">
        <v>1.83</v>
      </c>
      <c r="N43">
        <v>2.15</v>
      </c>
      <c r="O43">
        <v>2.08</v>
      </c>
      <c r="P43" s="5">
        <f t="shared" si="11"/>
        <v>0.22852789764052805</v>
      </c>
      <c r="Q43">
        <f t="shared" si="14"/>
        <v>1.2000000000000002</v>
      </c>
      <c r="R43" s="2">
        <f t="shared" si="12"/>
        <v>2.4300000000000002</v>
      </c>
      <c r="S43" s="27">
        <f t="shared" si="13"/>
        <v>102.49999999999999</v>
      </c>
    </row>
    <row r="44" spans="1:66" x14ac:dyDescent="0.25">
      <c r="A44" s="68"/>
      <c r="B44" s="3" t="s">
        <v>100</v>
      </c>
      <c r="C44" s="21" t="s">
        <v>133</v>
      </c>
      <c r="D44">
        <v>1.87</v>
      </c>
      <c r="E44">
        <v>1.62</v>
      </c>
      <c r="F44">
        <v>1.43</v>
      </c>
      <c r="G44">
        <v>1.68</v>
      </c>
      <c r="H44">
        <v>1.99</v>
      </c>
      <c r="I44">
        <v>1.47</v>
      </c>
      <c r="J44">
        <v>2.31</v>
      </c>
      <c r="K44">
        <v>1.82</v>
      </c>
      <c r="L44">
        <v>1.64</v>
      </c>
      <c r="M44">
        <v>1.86</v>
      </c>
      <c r="N44">
        <v>1.81</v>
      </c>
      <c r="O44">
        <v>1.99</v>
      </c>
      <c r="P44" s="5">
        <f t="shared" si="11"/>
        <v>0.218563491919398</v>
      </c>
      <c r="Q44">
        <f t="shared" si="14"/>
        <v>1.68</v>
      </c>
      <c r="R44" s="2">
        <f t="shared" si="12"/>
        <v>2.31</v>
      </c>
      <c r="S44" s="27">
        <f t="shared" si="13"/>
        <v>37.500000000000007</v>
      </c>
    </row>
    <row r="45" spans="1:66" x14ac:dyDescent="0.25">
      <c r="A45" s="68"/>
      <c r="B45" s="3" t="s">
        <v>100</v>
      </c>
      <c r="C45" s="21" t="s">
        <v>134</v>
      </c>
      <c r="D45">
        <v>1.33</v>
      </c>
      <c r="E45">
        <v>1.79</v>
      </c>
      <c r="F45">
        <v>1.63</v>
      </c>
      <c r="G45">
        <v>1.64</v>
      </c>
      <c r="H45">
        <v>1.6</v>
      </c>
      <c r="I45">
        <v>1.53</v>
      </c>
      <c r="J45">
        <v>2.6</v>
      </c>
      <c r="K45">
        <v>2.44</v>
      </c>
      <c r="L45">
        <v>2.09</v>
      </c>
      <c r="M45">
        <v>2.35</v>
      </c>
      <c r="N45">
        <v>2.44</v>
      </c>
      <c r="O45">
        <v>2.35</v>
      </c>
      <c r="P45" s="5">
        <f t="shared" si="11"/>
        <v>0.16694310408040217</v>
      </c>
      <c r="Q45">
        <f t="shared" si="14"/>
        <v>1.63</v>
      </c>
      <c r="R45" s="2">
        <f t="shared" si="12"/>
        <v>2.6</v>
      </c>
      <c r="S45" s="27">
        <f t="shared" si="13"/>
        <v>59.50920245398774</v>
      </c>
      <c r="T45">
        <v>1.35</v>
      </c>
      <c r="U45">
        <v>1.73</v>
      </c>
      <c r="V45">
        <v>1.47</v>
      </c>
      <c r="W45">
        <v>1.48</v>
      </c>
      <c r="X45">
        <v>1.3</v>
      </c>
      <c r="Y45">
        <v>1.08</v>
      </c>
      <c r="Z45">
        <v>2.6</v>
      </c>
      <c r="AA45">
        <v>2.57</v>
      </c>
      <c r="AB45">
        <v>2.16</v>
      </c>
      <c r="AC45">
        <v>2.0299999999999998</v>
      </c>
      <c r="AD45">
        <v>1.94</v>
      </c>
      <c r="AE45">
        <v>1.99</v>
      </c>
      <c r="AI45">
        <v>2.34</v>
      </c>
      <c r="AJ45">
        <v>2.27</v>
      </c>
      <c r="AK45">
        <v>2.38</v>
      </c>
      <c r="AL45">
        <v>2.21</v>
      </c>
      <c r="AM45">
        <v>2.33</v>
      </c>
      <c r="AN45">
        <v>1.77</v>
      </c>
      <c r="AO45">
        <v>2.62</v>
      </c>
      <c r="AP45">
        <v>2.6</v>
      </c>
      <c r="AQ45">
        <v>2.6</v>
      </c>
      <c r="AR45">
        <v>2.62</v>
      </c>
      <c r="AS45">
        <v>2.5</v>
      </c>
      <c r="AT45">
        <v>2.5299999999999998</v>
      </c>
      <c r="AX45">
        <v>2.25</v>
      </c>
      <c r="AY45">
        <v>2.42</v>
      </c>
      <c r="AZ45">
        <v>2.38</v>
      </c>
      <c r="BA45">
        <v>2.36</v>
      </c>
      <c r="BB45">
        <v>2.34</v>
      </c>
      <c r="BC45">
        <v>1.74</v>
      </c>
      <c r="BD45">
        <v>2.57</v>
      </c>
      <c r="BE45">
        <v>2.5099999999999998</v>
      </c>
      <c r="BF45">
        <v>2.4</v>
      </c>
      <c r="BG45">
        <v>2.42</v>
      </c>
      <c r="BH45">
        <v>2.39</v>
      </c>
      <c r="BI45">
        <v>2.44</v>
      </c>
    </row>
    <row r="46" spans="1:66" x14ac:dyDescent="0.25">
      <c r="A46" s="68"/>
      <c r="B46" s="3" t="s">
        <v>100</v>
      </c>
      <c r="C46" s="21" t="s">
        <v>135</v>
      </c>
      <c r="D46">
        <v>1.49</v>
      </c>
      <c r="E46">
        <v>2.2200000000000002</v>
      </c>
      <c r="F46">
        <v>2.54</v>
      </c>
      <c r="G46">
        <v>2.41</v>
      </c>
      <c r="H46">
        <v>2.64</v>
      </c>
      <c r="I46">
        <v>2.77</v>
      </c>
      <c r="J46">
        <v>1.84</v>
      </c>
      <c r="K46">
        <v>3.21</v>
      </c>
      <c r="L46">
        <v>3.03</v>
      </c>
      <c r="M46">
        <v>3.01</v>
      </c>
      <c r="N46">
        <v>3.01</v>
      </c>
      <c r="O46">
        <v>2.58</v>
      </c>
      <c r="P46" s="5">
        <f t="shared" si="11"/>
        <v>0.45820301177534745</v>
      </c>
      <c r="Q46">
        <f t="shared" si="14"/>
        <v>2.41</v>
      </c>
      <c r="R46" s="2">
        <f t="shared" si="12"/>
        <v>3.21</v>
      </c>
      <c r="S46" s="27">
        <f t="shared" si="13"/>
        <v>33.195020746887955</v>
      </c>
    </row>
    <row r="47" spans="1:66" x14ac:dyDescent="0.25">
      <c r="A47" s="68"/>
      <c r="B47" s="3" t="s">
        <v>100</v>
      </c>
      <c r="C47" s="21" t="s">
        <v>136</v>
      </c>
      <c r="D47">
        <v>2.0499999999999998</v>
      </c>
      <c r="E47">
        <v>2.25</v>
      </c>
      <c r="F47">
        <v>2.21</v>
      </c>
      <c r="G47">
        <v>2.5299999999999998</v>
      </c>
      <c r="H47">
        <v>2.0499999999999998</v>
      </c>
      <c r="I47">
        <v>1.79</v>
      </c>
      <c r="J47">
        <v>3.34</v>
      </c>
      <c r="K47">
        <v>2.16</v>
      </c>
      <c r="L47">
        <v>2.44</v>
      </c>
      <c r="M47">
        <v>1.95</v>
      </c>
      <c r="N47">
        <v>2.0699999999999998</v>
      </c>
      <c r="O47">
        <v>2.17</v>
      </c>
      <c r="P47" s="5">
        <f t="shared" si="11"/>
        <v>0.19677398201998147</v>
      </c>
      <c r="Q47">
        <f t="shared" si="14"/>
        <v>2.21</v>
      </c>
      <c r="R47" s="2">
        <f t="shared" si="12"/>
        <v>3.34</v>
      </c>
      <c r="S47" s="27">
        <f t="shared" si="13"/>
        <v>51.13122171945701</v>
      </c>
    </row>
    <row r="48" spans="1:66" x14ac:dyDescent="0.25">
      <c r="A48" s="68"/>
      <c r="B48" s="3" t="s">
        <v>100</v>
      </c>
      <c r="C48" s="21" t="s">
        <v>137</v>
      </c>
      <c r="D48">
        <v>2.76</v>
      </c>
      <c r="E48">
        <v>2.81</v>
      </c>
      <c r="F48">
        <v>2.88</v>
      </c>
      <c r="G48">
        <v>2.86</v>
      </c>
      <c r="H48">
        <v>2.83</v>
      </c>
      <c r="I48">
        <v>0.94</v>
      </c>
      <c r="J48">
        <v>3.26</v>
      </c>
      <c r="K48">
        <v>3.25</v>
      </c>
      <c r="L48">
        <v>3.13</v>
      </c>
      <c r="M48">
        <v>3.15</v>
      </c>
      <c r="N48">
        <v>3.08</v>
      </c>
      <c r="O48">
        <v>3.04</v>
      </c>
      <c r="P48" s="5">
        <f t="shared" si="11"/>
        <v>4.6583258795408485E-2</v>
      </c>
      <c r="Q48">
        <f t="shared" si="14"/>
        <v>2.83</v>
      </c>
      <c r="R48" s="2">
        <f t="shared" si="12"/>
        <v>3.26</v>
      </c>
      <c r="S48" s="27">
        <f t="shared" si="13"/>
        <v>15.194346289752639</v>
      </c>
    </row>
    <row r="49" spans="1:66" x14ac:dyDescent="0.25">
      <c r="A49" s="68"/>
      <c r="B49" s="3" t="s">
        <v>100</v>
      </c>
      <c r="C49" s="21" t="s">
        <v>138</v>
      </c>
      <c r="D49">
        <v>1.73</v>
      </c>
      <c r="E49">
        <v>2.08</v>
      </c>
      <c r="F49">
        <v>2.76</v>
      </c>
      <c r="G49">
        <v>2.4700000000000002</v>
      </c>
      <c r="H49">
        <v>2.4700000000000002</v>
      </c>
      <c r="I49">
        <v>1.29</v>
      </c>
      <c r="J49">
        <v>3.3</v>
      </c>
      <c r="K49">
        <v>2.93</v>
      </c>
      <c r="L49">
        <v>2.8</v>
      </c>
      <c r="M49">
        <v>2.72</v>
      </c>
      <c r="N49">
        <v>2.76</v>
      </c>
      <c r="O49">
        <v>2.79</v>
      </c>
      <c r="P49" s="5">
        <f t="shared" si="11"/>
        <v>0.40083662507310613</v>
      </c>
      <c r="Q49">
        <f t="shared" si="14"/>
        <v>2.4700000000000002</v>
      </c>
      <c r="R49" s="2">
        <f t="shared" si="12"/>
        <v>3.3</v>
      </c>
      <c r="S49" s="27">
        <f t="shared" si="13"/>
        <v>33.603238866396744</v>
      </c>
    </row>
    <row r="50" spans="1:66" x14ac:dyDescent="0.25">
      <c r="A50" s="68"/>
      <c r="B50" s="3" t="s">
        <v>100</v>
      </c>
      <c r="C50" s="21" t="s">
        <v>139</v>
      </c>
      <c r="D50">
        <v>1.97</v>
      </c>
      <c r="E50">
        <v>1.95</v>
      </c>
      <c r="F50">
        <v>2.5</v>
      </c>
      <c r="G50">
        <v>2.63</v>
      </c>
      <c r="H50">
        <v>2.6</v>
      </c>
      <c r="I50">
        <v>1.19</v>
      </c>
      <c r="J50">
        <v>3.42</v>
      </c>
      <c r="K50">
        <v>3.4</v>
      </c>
      <c r="L50">
        <v>3.14</v>
      </c>
      <c r="M50">
        <v>3.01</v>
      </c>
      <c r="N50">
        <v>2.78</v>
      </c>
      <c r="O50">
        <v>2.61</v>
      </c>
      <c r="P50" s="5">
        <f t="shared" si="11"/>
        <v>0.34124771061503034</v>
      </c>
      <c r="Q50">
        <f t="shared" si="14"/>
        <v>2.5</v>
      </c>
      <c r="R50" s="2">
        <f t="shared" si="12"/>
        <v>3.42</v>
      </c>
      <c r="S50" s="27">
        <f t="shared" si="13"/>
        <v>36.799999999999997</v>
      </c>
      <c r="T50">
        <v>2.62</v>
      </c>
      <c r="U50">
        <v>2.2999999999999998</v>
      </c>
      <c r="V50">
        <v>2.73</v>
      </c>
      <c r="W50">
        <v>2.8</v>
      </c>
      <c r="X50">
        <v>2.9</v>
      </c>
      <c r="Y50">
        <v>1.52</v>
      </c>
      <c r="Z50">
        <v>3.33</v>
      </c>
      <c r="AA50">
        <v>3.36</v>
      </c>
      <c r="AB50">
        <v>3.17</v>
      </c>
      <c r="AC50">
        <v>3</v>
      </c>
      <c r="AD50">
        <v>2.96</v>
      </c>
      <c r="AE50">
        <v>2.86</v>
      </c>
      <c r="AI50">
        <v>2.2799999999999998</v>
      </c>
      <c r="AJ50">
        <v>2.2999999999999998</v>
      </c>
      <c r="AK50">
        <v>2.36</v>
      </c>
      <c r="AL50">
        <v>2.69</v>
      </c>
      <c r="AM50">
        <v>2.7</v>
      </c>
      <c r="AN50">
        <v>1.68</v>
      </c>
      <c r="AO50">
        <v>3.36</v>
      </c>
      <c r="AP50">
        <v>3.2</v>
      </c>
      <c r="AQ50">
        <v>3.16</v>
      </c>
      <c r="AR50">
        <v>2.98</v>
      </c>
      <c r="AS50">
        <v>2.98</v>
      </c>
      <c r="AT50">
        <v>2.79</v>
      </c>
      <c r="AX50">
        <v>1.88</v>
      </c>
      <c r="AY50">
        <v>2.0299999999999998</v>
      </c>
      <c r="AZ50">
        <v>2.65</v>
      </c>
      <c r="BA50">
        <v>2.33</v>
      </c>
      <c r="BB50">
        <v>2.59</v>
      </c>
      <c r="BC50">
        <v>2.0099999999999998</v>
      </c>
      <c r="BD50">
        <v>3.4</v>
      </c>
      <c r="BE50">
        <v>3.29</v>
      </c>
      <c r="BF50">
        <v>3.03</v>
      </c>
      <c r="BG50">
        <v>2.94</v>
      </c>
      <c r="BH50">
        <v>2.87</v>
      </c>
      <c r="BI50">
        <v>2.96</v>
      </c>
    </row>
    <row r="51" spans="1:66" x14ac:dyDescent="0.25">
      <c r="A51" s="68"/>
      <c r="B51" s="3"/>
      <c r="P51" s="31" t="s">
        <v>110</v>
      </c>
      <c r="Q51" s="29">
        <f>AVERAGE(Q40:Q50)</f>
        <v>2.0154545454545456</v>
      </c>
      <c r="R51" s="30">
        <f>AVERAGE(R42:R50)</f>
        <v>2.9477777777777781</v>
      </c>
      <c r="S51" s="29">
        <f>AVERAGE(S40:S50)</f>
        <v>58.904455491178517</v>
      </c>
    </row>
    <row r="52" spans="1:66" x14ac:dyDescent="0.25">
      <c r="A52" s="68"/>
      <c r="B52" s="3"/>
      <c r="P52" s="31" t="s">
        <v>111</v>
      </c>
      <c r="Q52" s="29">
        <f>STDEVA(Q40:Q50)</f>
        <v>0.58529246768369736</v>
      </c>
      <c r="R52" s="29">
        <f>STDEVA(R42:R50)</f>
        <v>0.43956733778164531</v>
      </c>
      <c r="S52" s="29">
        <f>STDEVA(S40:S50)</f>
        <v>50.090696430968585</v>
      </c>
    </row>
    <row r="53" spans="1:66" ht="16.5" thickBot="1" x14ac:dyDescent="0.3">
      <c r="A53" s="68"/>
      <c r="B53" s="3"/>
      <c r="P53" s="31" t="s">
        <v>112</v>
      </c>
      <c r="Q53" s="32">
        <f>Q52/Q51</f>
        <v>0.29040221671270505</v>
      </c>
      <c r="R53" s="32">
        <f>R52/R51</f>
        <v>0.14911820731378844</v>
      </c>
      <c r="S53" s="32">
        <f>S52/S51</f>
        <v>0.85037194577700703</v>
      </c>
    </row>
    <row r="54" spans="1:66" x14ac:dyDescent="0.25">
      <c r="A54" s="4"/>
      <c r="B54" s="3"/>
      <c r="N54" s="9"/>
      <c r="O54" s="8" t="s">
        <v>113</v>
      </c>
      <c r="P54" s="10">
        <v>5</v>
      </c>
      <c r="Q54" s="15" t="s">
        <v>114</v>
      </c>
      <c r="R54" s="16"/>
      <c r="S54" s="16"/>
      <c r="T54" s="16"/>
      <c r="U54" s="17"/>
      <c r="AC54" s="9"/>
      <c r="AD54" s="9"/>
      <c r="AE54" s="8" t="s">
        <v>113</v>
      </c>
      <c r="AF54" s="10">
        <v>5</v>
      </c>
      <c r="AG54" s="15" t="s">
        <v>114</v>
      </c>
      <c r="AH54" s="16"/>
      <c r="AI54" s="11"/>
      <c r="AJ54" s="12"/>
      <c r="AR54" s="9"/>
      <c r="AS54" s="9"/>
      <c r="AT54" s="8" t="s">
        <v>113</v>
      </c>
      <c r="AU54" s="10">
        <v>5</v>
      </c>
      <c r="AV54" s="15" t="s">
        <v>114</v>
      </c>
      <c r="AW54" s="16"/>
      <c r="AX54" s="11"/>
      <c r="AY54" s="12"/>
      <c r="BG54" s="9"/>
      <c r="BH54" s="9"/>
      <c r="BI54" s="8" t="s">
        <v>113</v>
      </c>
      <c r="BJ54" s="10">
        <v>5</v>
      </c>
      <c r="BK54" s="15" t="s">
        <v>114</v>
      </c>
      <c r="BL54" s="16"/>
      <c r="BM54" s="11"/>
      <c r="BN54" s="12"/>
    </row>
    <row r="55" spans="1:66" ht="16.5" thickBot="1" x14ac:dyDescent="0.3">
      <c r="A55" s="4"/>
      <c r="B55" s="3"/>
      <c r="N55" s="9"/>
      <c r="O55" s="8" t="s">
        <v>115</v>
      </c>
      <c r="P55" s="10">
        <v>11</v>
      </c>
      <c r="Q55" s="18" t="s">
        <v>114</v>
      </c>
      <c r="R55" s="13"/>
      <c r="S55" s="13"/>
      <c r="T55" s="13"/>
      <c r="U55" s="14"/>
      <c r="AC55" s="9"/>
      <c r="AD55" s="9"/>
      <c r="AE55" s="8" t="s">
        <v>115</v>
      </c>
      <c r="AF55" s="10">
        <v>10</v>
      </c>
      <c r="AG55" s="18" t="s">
        <v>114</v>
      </c>
      <c r="AH55" s="13"/>
      <c r="AI55" s="13"/>
      <c r="AJ55" s="14"/>
      <c r="AR55" s="9"/>
      <c r="AS55" s="9"/>
      <c r="AT55" s="8" t="s">
        <v>115</v>
      </c>
      <c r="AU55" s="10">
        <v>10</v>
      </c>
      <c r="AV55" s="18" t="s">
        <v>114</v>
      </c>
      <c r="AW55" s="13"/>
      <c r="AX55" s="13"/>
      <c r="AY55" s="14"/>
      <c r="BG55" s="9"/>
      <c r="BH55" s="9"/>
      <c r="BI55" s="8" t="s">
        <v>115</v>
      </c>
      <c r="BJ55" s="10">
        <v>10</v>
      </c>
      <c r="BK55" s="18" t="s">
        <v>114</v>
      </c>
      <c r="BL55" s="13"/>
      <c r="BM55" s="13"/>
      <c r="BN55" s="14"/>
    </row>
    <row r="56" spans="1:66" x14ac:dyDescent="0.25">
      <c r="A56" s="4"/>
      <c r="B56" s="3"/>
      <c r="O56" s="2" t="s">
        <v>116</v>
      </c>
      <c r="P56" s="27">
        <f>SQRT(AVERAGE(P40:P53))</f>
        <v>0.49532361330760638</v>
      </c>
      <c r="AE56" s="2" t="s">
        <v>116</v>
      </c>
      <c r="AF56" s="5" t="e">
        <f>SQRT(AVERAGE(AF44:AF53))</f>
        <v>#DIV/0!</v>
      </c>
      <c r="AT56" s="2" t="s">
        <v>116</v>
      </c>
      <c r="AU56" s="5" t="e">
        <f>SQRT(AVERAGE(AU44:AU53))</f>
        <v>#DIV/0!</v>
      </c>
      <c r="BI56" s="2" t="s">
        <v>116</v>
      </c>
      <c r="BJ56" s="5" t="e">
        <f>SQRT(AVERAGE(BJ44:BJ53))</f>
        <v>#DIV/0!</v>
      </c>
    </row>
    <row r="57" spans="1:66" x14ac:dyDescent="0.25">
      <c r="A57" s="4"/>
      <c r="B57" s="3"/>
      <c r="O57" s="2" t="s">
        <v>117</v>
      </c>
      <c r="P57" s="27">
        <f>2.77*P56</f>
        <v>1.3720464088620696</v>
      </c>
      <c r="AE57" s="2" t="s">
        <v>117</v>
      </c>
      <c r="AF57" s="5" t="e">
        <f>2.77*AF56</f>
        <v>#DIV/0!</v>
      </c>
      <c r="AT57" s="2" t="s">
        <v>117</v>
      </c>
      <c r="AU57" s="5" t="e">
        <f>2.77*AU56</f>
        <v>#DIV/0!</v>
      </c>
      <c r="BI57" s="2" t="s">
        <v>117</v>
      </c>
      <c r="BJ57" s="5" t="e">
        <f>2.77*BJ56</f>
        <v>#DIV/0!</v>
      </c>
    </row>
    <row r="58" spans="1:66" x14ac:dyDescent="0.25">
      <c r="A58" s="4"/>
      <c r="B58" s="3"/>
      <c r="O58" s="2" t="s">
        <v>118</v>
      </c>
      <c r="P58" s="27">
        <f>P57-(1.96*(P56/(SQRT(2*P55*(P54-1)))))</f>
        <v>1.2685551266607391</v>
      </c>
      <c r="AE58" s="2" t="s">
        <v>118</v>
      </c>
      <c r="AF58" s="5" t="e">
        <f>AF57-(1.96*(AF56/(SQRT(2*AF55*(AF54-1)))))</f>
        <v>#DIV/0!</v>
      </c>
      <c r="AT58" s="2" t="s">
        <v>118</v>
      </c>
      <c r="AU58" s="5" t="e">
        <f>AU57-(1.96*(AU56/(SQRT(2*AU55*(AU54-1)))))</f>
        <v>#DIV/0!</v>
      </c>
      <c r="BI58" s="2" t="s">
        <v>118</v>
      </c>
      <c r="BJ58" s="5" t="e">
        <f>BJ57-(1.96*(BJ56/(SQRT(2*BJ55*(BJ54-1)))))</f>
        <v>#DIV/0!</v>
      </c>
    </row>
    <row r="59" spans="1:66" x14ac:dyDescent="0.25">
      <c r="A59" s="4"/>
      <c r="B59" s="3"/>
      <c r="O59" s="2" t="s">
        <v>119</v>
      </c>
      <c r="P59" s="27">
        <f>P57+(1.96*(P56/(SQRT(2*P55*(P54-1)))))</f>
        <v>1.4755376910634002</v>
      </c>
      <c r="AE59" s="2" t="s">
        <v>119</v>
      </c>
      <c r="AF59" s="5" t="e">
        <f>AF57+(1.96*(AF56/(SQRT(2*AF55*(AF54-1)))))</f>
        <v>#DIV/0!</v>
      </c>
      <c r="AT59" s="2" t="s">
        <v>119</v>
      </c>
      <c r="AU59" s="5" t="e">
        <f>AU57+(1.96*(AU56/(SQRT(2*AU55*(AU54-1)))))</f>
        <v>#DIV/0!</v>
      </c>
      <c r="BI59" s="2" t="s">
        <v>119</v>
      </c>
      <c r="BJ59" s="5" t="e">
        <f>BJ57+(1.96*(BJ56/(SQRT(2*BJ55*(BJ54-1)))))</f>
        <v>#DIV/0!</v>
      </c>
    </row>
    <row r="60" spans="1:66" s="40" customFormat="1" x14ac:dyDescent="0.25">
      <c r="A60" s="41"/>
      <c r="B60" s="39"/>
      <c r="O60" s="42"/>
      <c r="P60" s="43"/>
      <c r="AE60" s="42"/>
      <c r="AF60" s="43"/>
      <c r="AT60" s="42"/>
      <c r="AU60" s="43"/>
      <c r="BI60" s="42"/>
      <c r="BJ60" s="43"/>
    </row>
    <row r="61" spans="1:66" x14ac:dyDescent="0.25">
      <c r="A61" s="73" t="s">
        <v>140</v>
      </c>
      <c r="B61" s="3" t="s">
        <v>100</v>
      </c>
      <c r="C61" s="21" t="s">
        <v>141</v>
      </c>
      <c r="D61">
        <v>2.36</v>
      </c>
      <c r="E61">
        <v>2.11</v>
      </c>
      <c r="F61">
        <v>2.7</v>
      </c>
      <c r="G61">
        <v>2.66</v>
      </c>
      <c r="H61">
        <v>3.14</v>
      </c>
      <c r="I61">
        <v>1.68</v>
      </c>
      <c r="J61">
        <v>2.11</v>
      </c>
      <c r="K61">
        <v>3.24</v>
      </c>
      <c r="L61">
        <v>3.07</v>
      </c>
      <c r="M61">
        <v>2.94</v>
      </c>
      <c r="P61" s="5">
        <f t="shared" ref="P61:P70" si="15">IFERROR(STDEVA(D61:H61),#N/A)</f>
        <v>0.38817521816828993</v>
      </c>
      <c r="Q61">
        <f>MEDIAN(D61:H61)</f>
        <v>2.66</v>
      </c>
      <c r="R61" s="2">
        <f t="shared" ref="R61:R70" si="16">MAX(J61:O61)</f>
        <v>3.24</v>
      </c>
      <c r="S61" s="27">
        <f t="shared" ref="S61:S70" si="17">100*(R61-Q61)/Q61</f>
        <v>21.804511278195491</v>
      </c>
    </row>
    <row r="62" spans="1:66" x14ac:dyDescent="0.25">
      <c r="A62" s="73"/>
      <c r="B62" s="3" t="s">
        <v>100</v>
      </c>
      <c r="C62" s="21" t="s">
        <v>142</v>
      </c>
      <c r="D62">
        <v>1.93</v>
      </c>
      <c r="E62">
        <v>2.4500000000000002</v>
      </c>
      <c r="F62">
        <v>1.8</v>
      </c>
      <c r="G62">
        <v>1.41</v>
      </c>
      <c r="H62">
        <v>1.53</v>
      </c>
      <c r="I62">
        <v>0.77</v>
      </c>
      <c r="J62">
        <v>3.09</v>
      </c>
      <c r="K62">
        <v>3.17</v>
      </c>
      <c r="L62">
        <v>3.1</v>
      </c>
      <c r="M62">
        <v>3.04</v>
      </c>
      <c r="P62" s="5">
        <f t="shared" si="15"/>
        <v>0.40666939889792636</v>
      </c>
      <c r="Q62">
        <f t="shared" ref="Q62:Q70" si="18">MEDIAN(D62:H62)</f>
        <v>1.8</v>
      </c>
      <c r="R62" s="2">
        <f t="shared" si="16"/>
        <v>3.17</v>
      </c>
      <c r="S62" s="27">
        <f t="shared" si="17"/>
        <v>76.111111111111114</v>
      </c>
    </row>
    <row r="63" spans="1:66" x14ac:dyDescent="0.25">
      <c r="A63" s="73"/>
      <c r="B63" s="3" t="s">
        <v>100</v>
      </c>
      <c r="C63" s="21" t="s">
        <v>143</v>
      </c>
      <c r="D63">
        <v>2.06</v>
      </c>
      <c r="E63">
        <v>2.2599999999999998</v>
      </c>
      <c r="F63">
        <v>2.27</v>
      </c>
      <c r="G63">
        <v>2.39</v>
      </c>
      <c r="H63">
        <v>2.42</v>
      </c>
      <c r="I63">
        <v>1.34</v>
      </c>
      <c r="J63">
        <v>3.03</v>
      </c>
      <c r="K63">
        <v>2.96</v>
      </c>
      <c r="L63">
        <v>2.58</v>
      </c>
      <c r="M63">
        <v>2.31</v>
      </c>
      <c r="P63" s="5">
        <f t="shared" si="15"/>
        <v>0.14195069566578389</v>
      </c>
      <c r="Q63">
        <f t="shared" si="18"/>
        <v>2.27</v>
      </c>
      <c r="R63" s="2">
        <f t="shared" si="16"/>
        <v>3.03</v>
      </c>
      <c r="S63" s="27">
        <f t="shared" si="17"/>
        <v>33.480176211453731</v>
      </c>
    </row>
    <row r="64" spans="1:66" x14ac:dyDescent="0.25">
      <c r="A64" s="73"/>
      <c r="B64" s="3" t="s">
        <v>100</v>
      </c>
      <c r="C64" s="21" t="s">
        <v>144</v>
      </c>
      <c r="D64">
        <v>2.5099999999999998</v>
      </c>
      <c r="E64">
        <v>2.46</v>
      </c>
      <c r="F64">
        <v>2.36</v>
      </c>
      <c r="G64">
        <v>2.62</v>
      </c>
      <c r="H64">
        <v>1.72</v>
      </c>
      <c r="I64">
        <v>2.61</v>
      </c>
      <c r="J64">
        <v>2.72</v>
      </c>
      <c r="K64">
        <v>2.64</v>
      </c>
      <c r="L64">
        <v>2.56</v>
      </c>
      <c r="M64">
        <v>2.52</v>
      </c>
      <c r="N64">
        <v>2.48</v>
      </c>
      <c r="P64" s="5">
        <f t="shared" si="15"/>
        <v>0.35578083141169886</v>
      </c>
      <c r="Q64">
        <f t="shared" si="18"/>
        <v>2.46</v>
      </c>
      <c r="R64" s="2">
        <f t="shared" si="16"/>
        <v>2.72</v>
      </c>
      <c r="S64" s="27">
        <f t="shared" si="17"/>
        <v>10.569105691056919</v>
      </c>
    </row>
    <row r="65" spans="1:66" x14ac:dyDescent="0.25">
      <c r="A65" s="73"/>
      <c r="B65" s="3" t="s">
        <v>100</v>
      </c>
      <c r="C65" s="21" t="s">
        <v>145</v>
      </c>
      <c r="D65">
        <v>1.74</v>
      </c>
      <c r="E65">
        <v>1.55</v>
      </c>
      <c r="F65">
        <v>1.42</v>
      </c>
      <c r="G65">
        <v>1.37</v>
      </c>
      <c r="H65">
        <v>1.29</v>
      </c>
      <c r="I65">
        <v>1.0900000000000001</v>
      </c>
      <c r="J65">
        <v>1.18</v>
      </c>
      <c r="K65">
        <v>1.86</v>
      </c>
      <c r="L65">
        <v>1.55</v>
      </c>
      <c r="M65">
        <v>1.1499999999999999</v>
      </c>
      <c r="N65">
        <v>0.99</v>
      </c>
      <c r="O65">
        <v>0.91</v>
      </c>
      <c r="P65" s="5">
        <f t="shared" si="15"/>
        <v>0.17615334229017596</v>
      </c>
      <c r="Q65">
        <f t="shared" si="18"/>
        <v>1.42</v>
      </c>
      <c r="R65" s="2">
        <f t="shared" si="16"/>
        <v>1.86</v>
      </c>
      <c r="S65" s="27">
        <f t="shared" si="17"/>
        <v>30.985915492957758</v>
      </c>
      <c r="T65">
        <v>1.94</v>
      </c>
      <c r="U65">
        <v>1.57</v>
      </c>
      <c r="V65">
        <v>1.47</v>
      </c>
      <c r="W65">
        <v>1.75</v>
      </c>
      <c r="X65">
        <v>1.53</v>
      </c>
      <c r="Y65">
        <v>1.77</v>
      </c>
      <c r="Z65">
        <v>2.3199999999999998</v>
      </c>
      <c r="AA65">
        <v>2.36</v>
      </c>
      <c r="AB65">
        <v>2.2799999999999998</v>
      </c>
      <c r="AC65">
        <v>2.17</v>
      </c>
      <c r="AD65">
        <v>2.13</v>
      </c>
      <c r="AE65">
        <v>2.19</v>
      </c>
      <c r="AI65">
        <v>1.45</v>
      </c>
      <c r="AJ65">
        <v>1.25</v>
      </c>
      <c r="AK65">
        <v>1.6</v>
      </c>
      <c r="AL65">
        <v>2.35</v>
      </c>
      <c r="AM65">
        <v>2.15</v>
      </c>
      <c r="AN65">
        <v>1.25</v>
      </c>
      <c r="AO65">
        <v>2.46</v>
      </c>
      <c r="AP65">
        <v>2.46</v>
      </c>
      <c r="AQ65">
        <v>2.21</v>
      </c>
      <c r="AR65">
        <v>2.08</v>
      </c>
      <c r="AS65">
        <v>2.29</v>
      </c>
      <c r="AT65">
        <v>2.39</v>
      </c>
      <c r="AX65">
        <v>2.2799999999999998</v>
      </c>
      <c r="AY65">
        <v>2.21</v>
      </c>
      <c r="AZ65">
        <v>2.31</v>
      </c>
      <c r="BA65">
        <v>2.3199999999999998</v>
      </c>
      <c r="BB65">
        <v>2.35</v>
      </c>
      <c r="BC65">
        <v>2.2400000000000002</v>
      </c>
      <c r="BD65">
        <v>2.6</v>
      </c>
      <c r="BE65">
        <v>2.54</v>
      </c>
      <c r="BF65">
        <v>2.5</v>
      </c>
      <c r="BG65">
        <v>2.41</v>
      </c>
      <c r="BH65">
        <v>2.44</v>
      </c>
      <c r="BI65">
        <v>2.4300000000000002</v>
      </c>
    </row>
    <row r="66" spans="1:66" x14ac:dyDescent="0.25">
      <c r="A66" s="73"/>
      <c r="B66" s="3" t="s">
        <v>100</v>
      </c>
      <c r="C66" s="21" t="s">
        <v>146</v>
      </c>
      <c r="D66">
        <v>1.56</v>
      </c>
      <c r="E66">
        <v>1.78</v>
      </c>
      <c r="F66">
        <v>1.68</v>
      </c>
      <c r="G66">
        <v>1.87</v>
      </c>
      <c r="H66">
        <v>1.84</v>
      </c>
      <c r="I66">
        <v>1.21</v>
      </c>
      <c r="J66">
        <v>2.56</v>
      </c>
      <c r="K66">
        <v>2.16</v>
      </c>
      <c r="L66">
        <v>1.53</v>
      </c>
      <c r="M66">
        <v>2.02</v>
      </c>
      <c r="N66">
        <v>2.08</v>
      </c>
      <c r="O66">
        <v>1.91</v>
      </c>
      <c r="P66" s="5">
        <f t="shared" si="15"/>
        <v>0.1268069398731789</v>
      </c>
      <c r="Q66">
        <f t="shared" si="18"/>
        <v>1.78</v>
      </c>
      <c r="R66" s="2">
        <f t="shared" si="16"/>
        <v>2.56</v>
      </c>
      <c r="S66" s="27">
        <f t="shared" si="17"/>
        <v>43.82022471910112</v>
      </c>
    </row>
    <row r="67" spans="1:66" x14ac:dyDescent="0.25">
      <c r="A67" s="73"/>
      <c r="B67" s="3" t="s">
        <v>100</v>
      </c>
      <c r="C67" s="21" t="s">
        <v>147</v>
      </c>
      <c r="D67">
        <v>2.13</v>
      </c>
      <c r="E67">
        <v>1.75</v>
      </c>
      <c r="F67">
        <v>1.62</v>
      </c>
      <c r="G67">
        <v>1.5</v>
      </c>
      <c r="H67">
        <v>1.81</v>
      </c>
      <c r="I67">
        <v>1.84</v>
      </c>
      <c r="J67">
        <v>2.67</v>
      </c>
      <c r="K67">
        <v>2.2400000000000002</v>
      </c>
      <c r="L67">
        <v>2.0699999999999998</v>
      </c>
      <c r="M67">
        <v>2</v>
      </c>
      <c r="N67">
        <v>2.06</v>
      </c>
      <c r="O67">
        <v>2.0699999999999998</v>
      </c>
      <c r="P67" s="5">
        <f t="shared" si="15"/>
        <v>0.23805461558222307</v>
      </c>
      <c r="Q67">
        <f t="shared" si="18"/>
        <v>1.75</v>
      </c>
      <c r="R67" s="2">
        <f t="shared" si="16"/>
        <v>2.67</v>
      </c>
      <c r="S67" s="27">
        <f t="shared" si="17"/>
        <v>52.571428571428569</v>
      </c>
    </row>
    <row r="68" spans="1:66" x14ac:dyDescent="0.25">
      <c r="A68" s="73"/>
      <c r="B68" s="3" t="s">
        <v>100</v>
      </c>
      <c r="C68" s="21" t="s">
        <v>148</v>
      </c>
      <c r="D68">
        <v>1.38</v>
      </c>
      <c r="E68">
        <v>1.4</v>
      </c>
      <c r="F68">
        <v>1.79</v>
      </c>
      <c r="G68">
        <v>1.97</v>
      </c>
      <c r="H68">
        <v>1.71</v>
      </c>
      <c r="I68">
        <v>2.0099999999999998</v>
      </c>
      <c r="J68">
        <v>2.5499999999999998</v>
      </c>
      <c r="K68">
        <v>2.2599999999999998</v>
      </c>
      <c r="L68">
        <v>1.92</v>
      </c>
      <c r="M68">
        <v>2.11</v>
      </c>
      <c r="N68">
        <v>2.0499999999999998</v>
      </c>
      <c r="O68">
        <v>1.95</v>
      </c>
      <c r="P68" s="5">
        <f t="shared" si="15"/>
        <v>0.25544079548889476</v>
      </c>
      <c r="Q68">
        <f t="shared" si="18"/>
        <v>1.71</v>
      </c>
      <c r="R68" s="2">
        <f t="shared" si="16"/>
        <v>2.5499999999999998</v>
      </c>
      <c r="S68" s="27">
        <f t="shared" si="17"/>
        <v>49.122807017543849</v>
      </c>
      <c r="T68">
        <v>1.9</v>
      </c>
      <c r="U68">
        <v>2.16</v>
      </c>
      <c r="V68">
        <v>2.1</v>
      </c>
      <c r="W68">
        <v>2.0699999999999998</v>
      </c>
      <c r="X68">
        <v>2.06</v>
      </c>
      <c r="Y68">
        <v>1.99</v>
      </c>
      <c r="Z68">
        <v>2.68</v>
      </c>
      <c r="AA68">
        <v>2.4</v>
      </c>
      <c r="AB68">
        <v>2.5299999999999998</v>
      </c>
      <c r="AC68">
        <v>2.42</v>
      </c>
      <c r="AD68">
        <v>2.35</v>
      </c>
      <c r="AE68">
        <v>2.38</v>
      </c>
      <c r="AI68">
        <v>2.2400000000000002</v>
      </c>
      <c r="AJ68">
        <v>2.29</v>
      </c>
      <c r="AK68">
        <v>2.34</v>
      </c>
      <c r="AL68">
        <v>2.33</v>
      </c>
      <c r="AM68">
        <v>2.4300000000000002</v>
      </c>
      <c r="AN68">
        <v>2.09</v>
      </c>
      <c r="AO68">
        <v>2.48</v>
      </c>
      <c r="AP68">
        <v>2.34</v>
      </c>
      <c r="AQ68">
        <v>2.3199999999999998</v>
      </c>
      <c r="AR68">
        <v>2.34</v>
      </c>
      <c r="AS68">
        <v>2.37</v>
      </c>
      <c r="AT68">
        <v>2.2999999999999998</v>
      </c>
      <c r="AX68">
        <v>2.37</v>
      </c>
      <c r="AY68">
        <v>2.2999999999999998</v>
      </c>
      <c r="AZ68">
        <v>1.77</v>
      </c>
      <c r="BA68">
        <v>1.88</v>
      </c>
      <c r="BB68">
        <v>2.02</v>
      </c>
      <c r="BC68">
        <v>2.04</v>
      </c>
      <c r="BD68">
        <v>2.2799999999999998</v>
      </c>
      <c r="BE68">
        <v>2.36</v>
      </c>
      <c r="BF68">
        <v>2.2000000000000002</v>
      </c>
      <c r="BG68">
        <v>2.04</v>
      </c>
      <c r="BH68">
        <v>2</v>
      </c>
      <c r="BI68">
        <v>2.1</v>
      </c>
    </row>
    <row r="69" spans="1:66" x14ac:dyDescent="0.25">
      <c r="A69" s="73"/>
      <c r="B69" s="3" t="s">
        <v>100</v>
      </c>
      <c r="C69" s="21" t="s">
        <v>149</v>
      </c>
      <c r="D69">
        <v>1.94</v>
      </c>
      <c r="E69">
        <v>2.3199999999999998</v>
      </c>
      <c r="F69">
        <v>2.31</v>
      </c>
      <c r="G69">
        <v>2.57</v>
      </c>
      <c r="H69">
        <v>2.59</v>
      </c>
      <c r="I69">
        <v>1.21</v>
      </c>
      <c r="J69">
        <v>2.65</v>
      </c>
      <c r="K69">
        <v>2.66</v>
      </c>
      <c r="L69">
        <v>2.66</v>
      </c>
      <c r="M69">
        <v>2.5299999999999998</v>
      </c>
      <c r="N69">
        <v>2.2999999999999998</v>
      </c>
      <c r="O69">
        <v>2.4</v>
      </c>
      <c r="P69" s="5">
        <f t="shared" si="15"/>
        <v>0.26292584505902034</v>
      </c>
      <c r="Q69">
        <f t="shared" si="18"/>
        <v>2.3199999999999998</v>
      </c>
      <c r="R69" s="2">
        <f t="shared" si="16"/>
        <v>2.66</v>
      </c>
      <c r="S69" s="27">
        <f t="shared" si="17"/>
        <v>14.655172413793117</v>
      </c>
      <c r="T69">
        <v>1.99</v>
      </c>
      <c r="U69">
        <v>2.0099999999999998</v>
      </c>
      <c r="V69">
        <v>2.2000000000000002</v>
      </c>
      <c r="W69">
        <v>2.25</v>
      </c>
      <c r="X69">
        <v>1.96</v>
      </c>
      <c r="Y69">
        <v>1.01</v>
      </c>
      <c r="Z69">
        <v>2.66</v>
      </c>
      <c r="AA69">
        <v>2.63</v>
      </c>
      <c r="AB69">
        <v>2.67</v>
      </c>
      <c r="AC69">
        <v>2.4500000000000002</v>
      </c>
      <c r="AD69">
        <v>2.44</v>
      </c>
      <c r="AE69">
        <v>2.2599999999999998</v>
      </c>
    </row>
    <row r="70" spans="1:66" x14ac:dyDescent="0.25">
      <c r="A70" s="73"/>
      <c r="B70" s="3" t="s">
        <v>100</v>
      </c>
      <c r="C70" s="21" t="s">
        <v>150</v>
      </c>
      <c r="E70">
        <v>2.17</v>
      </c>
      <c r="F70">
        <v>2.31</v>
      </c>
      <c r="G70">
        <v>2.0499999999999998</v>
      </c>
      <c r="H70">
        <v>1.93</v>
      </c>
      <c r="I70">
        <v>1.93</v>
      </c>
      <c r="J70">
        <v>2.59</v>
      </c>
      <c r="K70">
        <v>2.3199999999999998</v>
      </c>
      <c r="L70">
        <v>2.27</v>
      </c>
      <c r="M70">
        <v>2.2000000000000002</v>
      </c>
      <c r="N70">
        <v>2.2599999999999998</v>
      </c>
      <c r="O70">
        <v>2.23</v>
      </c>
      <c r="P70" s="5">
        <f t="shared" si="15"/>
        <v>0.16278820596099713</v>
      </c>
      <c r="Q70">
        <f t="shared" si="18"/>
        <v>2.11</v>
      </c>
      <c r="R70" s="2">
        <f t="shared" si="16"/>
        <v>2.59</v>
      </c>
      <c r="S70" s="27">
        <f t="shared" si="17"/>
        <v>22.748815165876778</v>
      </c>
      <c r="T70">
        <v>1.98</v>
      </c>
      <c r="U70">
        <v>1.73</v>
      </c>
      <c r="V70">
        <v>1.6</v>
      </c>
      <c r="W70">
        <v>1.63</v>
      </c>
      <c r="X70">
        <v>1.67</v>
      </c>
      <c r="Y70">
        <v>2.1800000000000002</v>
      </c>
      <c r="Z70">
        <v>2.27</v>
      </c>
      <c r="AA70">
        <v>2.46</v>
      </c>
      <c r="AB70">
        <v>2.2799999999999998</v>
      </c>
      <c r="AC70">
        <v>2.2999999999999998</v>
      </c>
      <c r="AD70">
        <v>2.27</v>
      </c>
      <c r="AE70">
        <v>2.21</v>
      </c>
      <c r="AI70">
        <v>2.12</v>
      </c>
      <c r="AJ70">
        <v>2.2599999999999998</v>
      </c>
      <c r="AK70">
        <v>2.5299999999999998</v>
      </c>
      <c r="AL70">
        <v>2.39</v>
      </c>
      <c r="AM70">
        <v>2.6</v>
      </c>
      <c r="AN70">
        <v>2.13</v>
      </c>
      <c r="AO70">
        <v>2.64</v>
      </c>
      <c r="AP70">
        <v>2.4500000000000002</v>
      </c>
      <c r="AQ70">
        <v>2.4300000000000002</v>
      </c>
      <c r="AR70">
        <v>2.2400000000000002</v>
      </c>
      <c r="AS70">
        <v>2.33</v>
      </c>
      <c r="AT70">
        <v>2.15</v>
      </c>
      <c r="AX70">
        <v>2.15</v>
      </c>
      <c r="AY70">
        <v>2.46</v>
      </c>
      <c r="AZ70">
        <v>2.14</v>
      </c>
      <c r="BA70">
        <v>2.19</v>
      </c>
      <c r="BB70">
        <v>2.2799999999999998</v>
      </c>
      <c r="BC70">
        <v>2.09</v>
      </c>
      <c r="BD70">
        <v>2.76</v>
      </c>
      <c r="BE70">
        <v>2.52</v>
      </c>
      <c r="BF70">
        <v>2.41</v>
      </c>
      <c r="BG70">
        <v>2.46</v>
      </c>
      <c r="BH70">
        <v>2.5499999999999998</v>
      </c>
      <c r="BI70">
        <v>2.57</v>
      </c>
    </row>
    <row r="71" spans="1:66" x14ac:dyDescent="0.25">
      <c r="A71" s="73"/>
      <c r="B71" s="3" t="s">
        <v>100</v>
      </c>
      <c r="P71" s="31" t="s">
        <v>110</v>
      </c>
      <c r="Q71" s="29">
        <f>AVERAGE(Q61:Q70)</f>
        <v>2.028</v>
      </c>
      <c r="R71" s="30">
        <f>AVERAGE(R62:R70)</f>
        <v>2.6455555555555552</v>
      </c>
      <c r="S71" s="29">
        <f>AVERAGE(S61:S70)</f>
        <v>35.586926767251853</v>
      </c>
    </row>
    <row r="72" spans="1:66" x14ac:dyDescent="0.25">
      <c r="A72" s="73"/>
      <c r="B72" s="3"/>
      <c r="P72" s="31" t="s">
        <v>111</v>
      </c>
      <c r="Q72" s="29">
        <f>STDEVA(Q61:Q70)</f>
        <v>0.39414605301983019</v>
      </c>
      <c r="R72" s="29">
        <f>STDEVA(R62:R70)</f>
        <v>0.36500380515520497</v>
      </c>
      <c r="S72" s="29">
        <f>STDEVA(S61:S70)</f>
        <v>20.072367872697974</v>
      </c>
    </row>
    <row r="73" spans="1:66" ht="16.5" thickBot="1" x14ac:dyDescent="0.3">
      <c r="A73" s="73"/>
      <c r="B73" s="3"/>
      <c r="P73" s="31" t="s">
        <v>112</v>
      </c>
      <c r="Q73" s="32">
        <f>Q72/Q71</f>
        <v>0.19435209714981763</v>
      </c>
      <c r="R73" s="32">
        <f>R72/R71</f>
        <v>0.13796867897508799</v>
      </c>
      <c r="S73" s="32">
        <f>S72/S71</f>
        <v>0.56403768732199611</v>
      </c>
    </row>
    <row r="74" spans="1:66" x14ac:dyDescent="0.25">
      <c r="A74" s="4"/>
      <c r="B74" s="3"/>
      <c r="N74" s="9"/>
      <c r="O74" s="8" t="s">
        <v>113</v>
      </c>
      <c r="P74" s="10">
        <v>5</v>
      </c>
      <c r="Q74" s="15" t="s">
        <v>114</v>
      </c>
      <c r="R74" s="16"/>
      <c r="S74" s="16"/>
      <c r="T74" s="16"/>
      <c r="U74" s="17"/>
      <c r="AC74" s="9"/>
      <c r="AD74" s="9"/>
      <c r="AE74" s="8" t="s">
        <v>113</v>
      </c>
      <c r="AF74" s="10">
        <v>5</v>
      </c>
      <c r="AG74" s="15" t="s">
        <v>114</v>
      </c>
      <c r="AH74" s="16"/>
      <c r="AI74" s="11"/>
      <c r="AJ74" s="12"/>
      <c r="AR74" s="9"/>
      <c r="AS74" s="9"/>
      <c r="AT74" s="8" t="s">
        <v>113</v>
      </c>
      <c r="AU74" s="10">
        <v>5</v>
      </c>
      <c r="AV74" s="15" t="s">
        <v>114</v>
      </c>
      <c r="AW74" s="16"/>
      <c r="AX74" s="11"/>
      <c r="AY74" s="12"/>
      <c r="BG74" s="9"/>
      <c r="BH74" s="9"/>
      <c r="BI74" s="8" t="s">
        <v>113</v>
      </c>
      <c r="BJ74" s="10">
        <v>5</v>
      </c>
      <c r="BK74" s="15" t="s">
        <v>114</v>
      </c>
      <c r="BL74" s="16"/>
      <c r="BM74" s="11"/>
      <c r="BN74" s="12"/>
    </row>
    <row r="75" spans="1:66" ht="16.5" thickBot="1" x14ac:dyDescent="0.3">
      <c r="A75" s="4"/>
      <c r="B75" s="3"/>
      <c r="N75" s="9"/>
      <c r="O75" s="8" t="s">
        <v>115</v>
      </c>
      <c r="P75" s="10">
        <v>10</v>
      </c>
      <c r="Q75" s="18" t="s">
        <v>114</v>
      </c>
      <c r="R75" s="13"/>
      <c r="S75" s="13"/>
      <c r="T75" s="13"/>
      <c r="U75" s="14"/>
      <c r="AC75" s="9"/>
      <c r="AD75" s="9"/>
      <c r="AE75" s="8" t="s">
        <v>115</v>
      </c>
      <c r="AF75" s="10">
        <v>10</v>
      </c>
      <c r="AG75" s="18" t="s">
        <v>114</v>
      </c>
      <c r="AH75" s="13"/>
      <c r="AI75" s="13"/>
      <c r="AJ75" s="14"/>
      <c r="AR75" s="9"/>
      <c r="AS75" s="9"/>
      <c r="AT75" s="8" t="s">
        <v>115</v>
      </c>
      <c r="AU75" s="10">
        <v>10</v>
      </c>
      <c r="AV75" s="18" t="s">
        <v>114</v>
      </c>
      <c r="AW75" s="13"/>
      <c r="AX75" s="13"/>
      <c r="AY75" s="14"/>
      <c r="BG75" s="9"/>
      <c r="BH75" s="9"/>
      <c r="BI75" s="8" t="s">
        <v>115</v>
      </c>
      <c r="BJ75" s="10">
        <v>10</v>
      </c>
      <c r="BK75" s="18" t="s">
        <v>114</v>
      </c>
      <c r="BL75" s="13"/>
      <c r="BM75" s="13"/>
      <c r="BN75" s="14"/>
    </row>
    <row r="76" spans="1:66" x14ac:dyDescent="0.25">
      <c r="A76" s="4"/>
      <c r="B76" s="3"/>
      <c r="O76" s="2" t="s">
        <v>116</v>
      </c>
      <c r="P76" s="5">
        <f>SQRT(AVERAGE(P61:P70))</f>
        <v>0.50147242081675725</v>
      </c>
      <c r="AE76" s="2" t="s">
        <v>116</v>
      </c>
      <c r="AF76" s="5" t="e">
        <f>SQRT(AVERAGE(AF61:AF72))</f>
        <v>#DIV/0!</v>
      </c>
      <c r="AT76" s="2" t="s">
        <v>116</v>
      </c>
      <c r="AU76" s="5" t="e">
        <f>SQRT(AVERAGE(AU61:AU72))</f>
        <v>#DIV/0!</v>
      </c>
      <c r="BI76" s="2" t="s">
        <v>116</v>
      </c>
      <c r="BJ76" s="5" t="e">
        <f>SQRT(AVERAGE(BJ61:BJ72))</f>
        <v>#DIV/0!</v>
      </c>
    </row>
    <row r="77" spans="1:66" x14ac:dyDescent="0.25">
      <c r="A77" s="4"/>
      <c r="B77" s="3"/>
      <c r="O77" s="2" t="s">
        <v>117</v>
      </c>
      <c r="P77" s="5">
        <f>2.77*P76</f>
        <v>1.3890786056624176</v>
      </c>
      <c r="AE77" s="2" t="s">
        <v>117</v>
      </c>
      <c r="AF77" s="5" t="e">
        <f>2.77*AF76</f>
        <v>#DIV/0!</v>
      </c>
      <c r="AT77" s="2" t="s">
        <v>117</v>
      </c>
      <c r="AU77" s="5" t="e">
        <f>2.77*AU76</f>
        <v>#DIV/0!</v>
      </c>
      <c r="BI77" s="2" t="s">
        <v>117</v>
      </c>
      <c r="BJ77" s="5" t="e">
        <f>2.77*BJ76</f>
        <v>#DIV/0!</v>
      </c>
    </row>
    <row r="78" spans="1:66" x14ac:dyDescent="0.25">
      <c r="A78" s="4"/>
      <c r="B78" s="3"/>
      <c r="O78" s="2" t="s">
        <v>118</v>
      </c>
      <c r="P78" s="5">
        <f>P77-(1.96*(P76/(SQRT(2*P75*(P74-1)))))</f>
        <v>1.2791886163272279</v>
      </c>
      <c r="AE78" s="2" t="s">
        <v>118</v>
      </c>
      <c r="AF78" s="5" t="e">
        <f>AF77-(1.96*(AF76/(SQRT(2*AF75*(AF74-1)))))</f>
        <v>#DIV/0!</v>
      </c>
      <c r="AT78" s="2" t="s">
        <v>118</v>
      </c>
      <c r="AU78" s="5" t="e">
        <f>AU77-(1.96*(AU76/(SQRT(2*AU75*(AU74-1)))))</f>
        <v>#DIV/0!</v>
      </c>
      <c r="BI78" s="2" t="s">
        <v>118</v>
      </c>
      <c r="BJ78" s="5" t="e">
        <f>BJ77-(1.96*(BJ76/(SQRT(2*BJ75*(BJ74-1)))))</f>
        <v>#DIV/0!</v>
      </c>
    </row>
    <row r="79" spans="1:66" x14ac:dyDescent="0.25">
      <c r="A79" s="4"/>
      <c r="B79" s="3"/>
      <c r="O79" s="2" t="s">
        <v>119</v>
      </c>
      <c r="P79" s="5">
        <f>P77+(1.96*(P76/(SQRT(2*P75*(P74-1)))))</f>
        <v>1.4989685949976073</v>
      </c>
      <c r="AE79" s="2" t="s">
        <v>119</v>
      </c>
      <c r="AF79" s="5" t="e">
        <f>AF77+(1.96*(AF76/(SQRT(2*AF75*(AF74-1)))))</f>
        <v>#DIV/0!</v>
      </c>
      <c r="AT79" s="2" t="s">
        <v>119</v>
      </c>
      <c r="AU79" s="5" t="e">
        <f>AU77+(1.96*(AU76/(SQRT(2*AU75*(AU74-1)))))</f>
        <v>#DIV/0!</v>
      </c>
      <c r="BI79" s="2" t="s">
        <v>119</v>
      </c>
      <c r="BJ79" s="5" t="e">
        <f>BJ77+(1.96*(BJ76/(SQRT(2*BJ75*(BJ74-1)))))</f>
        <v>#DIV/0!</v>
      </c>
    </row>
    <row r="80" spans="1:66" s="40" customFormat="1" x14ac:dyDescent="0.25">
      <c r="A80" s="41"/>
      <c r="B80" s="39"/>
      <c r="O80" s="42"/>
      <c r="P80" s="43"/>
      <c r="AE80" s="42"/>
      <c r="AF80" s="43"/>
      <c r="AT80" s="42"/>
      <c r="AU80" s="43"/>
      <c r="BI80" s="42"/>
      <c r="BJ80" s="43"/>
    </row>
    <row r="81" spans="1:66" x14ac:dyDescent="0.25">
      <c r="A81" s="68" t="s">
        <v>151</v>
      </c>
      <c r="B81" s="3" t="s">
        <v>100</v>
      </c>
      <c r="C81" s="21" t="s">
        <v>152</v>
      </c>
      <c r="D81">
        <v>2.23</v>
      </c>
      <c r="E81">
        <v>2.46</v>
      </c>
      <c r="F81">
        <v>2.74</v>
      </c>
      <c r="G81">
        <v>2.79</v>
      </c>
      <c r="H81">
        <v>2.77</v>
      </c>
      <c r="I81">
        <v>0.95</v>
      </c>
      <c r="J81">
        <v>2.93</v>
      </c>
      <c r="K81">
        <v>2.87</v>
      </c>
      <c r="L81">
        <v>2.73</v>
      </c>
      <c r="M81">
        <v>2.4</v>
      </c>
      <c r="P81" s="5">
        <f t="shared" ref="P81:P93" si="19">IFERROR(STDEVA(D81:H81),#N/A)</f>
        <v>0.24549949083450259</v>
      </c>
      <c r="Q81" s="3">
        <f>MEDIAN(D81:H81)</f>
        <v>2.74</v>
      </c>
      <c r="R81" s="2">
        <f t="shared" ref="R81:R93" si="20">MAX(J81:O81)</f>
        <v>2.93</v>
      </c>
      <c r="S81" s="27">
        <f t="shared" ref="S81:S93" si="21">100*(R81-Q81)/Q81</f>
        <v>6.9343065693430628</v>
      </c>
    </row>
    <row r="82" spans="1:66" x14ac:dyDescent="0.25">
      <c r="A82" s="68"/>
      <c r="B82" s="3" t="s">
        <v>100</v>
      </c>
      <c r="C82" s="21" t="s">
        <v>153</v>
      </c>
      <c r="D82">
        <v>1.69</v>
      </c>
      <c r="E82">
        <v>1.46</v>
      </c>
      <c r="F82">
        <v>1.89</v>
      </c>
      <c r="G82">
        <v>1.97</v>
      </c>
      <c r="H82">
        <v>1.87</v>
      </c>
      <c r="I82">
        <v>1.76</v>
      </c>
      <c r="J82">
        <v>1.88</v>
      </c>
      <c r="K82">
        <v>1.9</v>
      </c>
      <c r="L82">
        <v>1.91</v>
      </c>
      <c r="M82">
        <v>1.89</v>
      </c>
      <c r="N82">
        <v>1.99</v>
      </c>
      <c r="O82">
        <v>1.91</v>
      </c>
      <c r="P82" s="5">
        <f t="shared" si="19"/>
        <v>0.20415680248279955</v>
      </c>
      <c r="Q82" s="3">
        <f t="shared" ref="Q82:Q93" si="22">MEDIAN(D82:H82)</f>
        <v>1.87</v>
      </c>
      <c r="R82" s="2">
        <f t="shared" si="20"/>
        <v>1.99</v>
      </c>
      <c r="S82" s="27">
        <f t="shared" si="21"/>
        <v>6.4171122994652343</v>
      </c>
    </row>
    <row r="83" spans="1:66" x14ac:dyDescent="0.25">
      <c r="A83" s="68"/>
      <c r="B83" s="3" t="s">
        <v>100</v>
      </c>
      <c r="C83" s="21" t="s">
        <v>154</v>
      </c>
      <c r="D83">
        <v>1.36</v>
      </c>
      <c r="E83">
        <v>1.2</v>
      </c>
      <c r="F83">
        <v>1.41</v>
      </c>
      <c r="G83">
        <v>1.5</v>
      </c>
      <c r="H83">
        <v>1.17</v>
      </c>
      <c r="I83">
        <v>1.48</v>
      </c>
      <c r="J83">
        <v>2.5</v>
      </c>
      <c r="K83">
        <v>2.2599999999999998</v>
      </c>
      <c r="L83">
        <v>1.84</v>
      </c>
      <c r="M83">
        <v>1.99</v>
      </c>
      <c r="N83">
        <v>1.96</v>
      </c>
      <c r="O83">
        <v>1.97</v>
      </c>
      <c r="P83" s="5">
        <f t="shared" si="19"/>
        <v>0.14024977718342374</v>
      </c>
      <c r="Q83" s="3">
        <f t="shared" si="22"/>
        <v>1.36</v>
      </c>
      <c r="R83" s="2">
        <f t="shared" si="20"/>
        <v>2.5</v>
      </c>
      <c r="S83" s="27">
        <f t="shared" si="21"/>
        <v>83.823529411764696</v>
      </c>
      <c r="T83">
        <v>1.38</v>
      </c>
      <c r="U83">
        <v>1.33</v>
      </c>
      <c r="V83">
        <v>1.43</v>
      </c>
      <c r="W83">
        <v>1.27</v>
      </c>
      <c r="X83">
        <v>1.5</v>
      </c>
      <c r="Y83">
        <v>1.1100000000000001</v>
      </c>
      <c r="Z83">
        <v>1.21</v>
      </c>
      <c r="AA83">
        <v>2.36</v>
      </c>
      <c r="AB83">
        <v>1.62</v>
      </c>
      <c r="AC83">
        <v>1.71</v>
      </c>
      <c r="AD83">
        <v>1.4</v>
      </c>
      <c r="AE83">
        <v>1.69</v>
      </c>
      <c r="AI83">
        <v>2.1</v>
      </c>
      <c r="AJ83">
        <v>2.0099999999999998</v>
      </c>
      <c r="AK83">
        <v>1.94</v>
      </c>
      <c r="AL83">
        <v>2.11</v>
      </c>
      <c r="AM83">
        <v>2.12</v>
      </c>
      <c r="AN83">
        <v>1.48</v>
      </c>
      <c r="AO83">
        <v>2.5499999999999998</v>
      </c>
      <c r="AP83">
        <v>2.4</v>
      </c>
      <c r="AQ83">
        <v>2.33</v>
      </c>
      <c r="AR83">
        <v>2.13</v>
      </c>
      <c r="AS83">
        <v>2.09</v>
      </c>
      <c r="AT83">
        <v>2.16</v>
      </c>
      <c r="AX83">
        <v>1.88</v>
      </c>
      <c r="AY83">
        <v>1.52</v>
      </c>
      <c r="AZ83">
        <v>2.14</v>
      </c>
      <c r="BA83">
        <v>1.67</v>
      </c>
      <c r="BB83">
        <v>1.61</v>
      </c>
      <c r="BC83">
        <v>1.77</v>
      </c>
      <c r="BD83">
        <v>2.27</v>
      </c>
      <c r="BE83">
        <v>2.62</v>
      </c>
      <c r="BF83">
        <v>2.39</v>
      </c>
      <c r="BG83">
        <v>2.35</v>
      </c>
      <c r="BH83">
        <v>2.42</v>
      </c>
      <c r="BI83">
        <v>2.48</v>
      </c>
    </row>
    <row r="84" spans="1:66" x14ac:dyDescent="0.25">
      <c r="A84" s="68"/>
      <c r="B84" s="3" t="s">
        <v>100</v>
      </c>
      <c r="C84" s="21" t="s">
        <v>155</v>
      </c>
      <c r="D84">
        <v>1.62</v>
      </c>
      <c r="E84">
        <v>2.4500000000000002</v>
      </c>
      <c r="F84">
        <v>2.11</v>
      </c>
      <c r="G84">
        <v>2.2000000000000002</v>
      </c>
      <c r="H84">
        <v>2.39</v>
      </c>
      <c r="I84">
        <v>2.12</v>
      </c>
      <c r="J84">
        <v>3.33</v>
      </c>
      <c r="K84">
        <v>3.25</v>
      </c>
      <c r="L84">
        <v>3.21</v>
      </c>
      <c r="M84">
        <v>2.97</v>
      </c>
      <c r="N84">
        <v>2.85</v>
      </c>
      <c r="O84">
        <v>2.83</v>
      </c>
      <c r="P84" s="5">
        <f t="shared" si="19"/>
        <v>0.3288312637204695</v>
      </c>
      <c r="Q84" s="3">
        <f t="shared" si="22"/>
        <v>2.2000000000000002</v>
      </c>
      <c r="R84" s="2">
        <f t="shared" si="20"/>
        <v>3.33</v>
      </c>
      <c r="S84" s="27">
        <f t="shared" si="21"/>
        <v>51.363636363636353</v>
      </c>
    </row>
    <row r="85" spans="1:66" x14ac:dyDescent="0.25">
      <c r="A85" s="68"/>
      <c r="B85" s="3" t="s">
        <v>100</v>
      </c>
      <c r="C85" s="21" t="s">
        <v>156</v>
      </c>
      <c r="D85">
        <v>1.62</v>
      </c>
      <c r="E85">
        <v>2.54</v>
      </c>
      <c r="F85">
        <v>2.64</v>
      </c>
      <c r="G85">
        <v>2.66</v>
      </c>
      <c r="H85">
        <v>2.63</v>
      </c>
      <c r="I85">
        <v>1.67</v>
      </c>
      <c r="J85">
        <v>3.43</v>
      </c>
      <c r="K85">
        <v>3.23</v>
      </c>
      <c r="L85">
        <v>3.04</v>
      </c>
      <c r="M85">
        <v>2.82</v>
      </c>
      <c r="N85">
        <v>3.13</v>
      </c>
      <c r="O85">
        <v>3.12</v>
      </c>
      <c r="P85" s="5">
        <f t="shared" si="19"/>
        <v>0.44846404538156626</v>
      </c>
      <c r="Q85" s="3">
        <f t="shared" si="22"/>
        <v>2.63</v>
      </c>
      <c r="R85" s="2">
        <f t="shared" si="20"/>
        <v>3.43</v>
      </c>
      <c r="S85" s="27">
        <f t="shared" si="21"/>
        <v>30.418250950570354</v>
      </c>
    </row>
    <row r="86" spans="1:66" x14ac:dyDescent="0.25">
      <c r="A86" s="68"/>
      <c r="B86" s="3" t="s">
        <v>100</v>
      </c>
      <c r="C86" s="21" t="s">
        <v>157</v>
      </c>
      <c r="D86">
        <v>1.8</v>
      </c>
      <c r="E86">
        <v>2.0499999999999998</v>
      </c>
      <c r="F86">
        <v>2.25</v>
      </c>
      <c r="G86">
        <v>2.14</v>
      </c>
      <c r="H86">
        <v>2.14</v>
      </c>
      <c r="I86">
        <v>1.51</v>
      </c>
      <c r="J86">
        <v>2.66</v>
      </c>
      <c r="K86">
        <v>3.15</v>
      </c>
      <c r="L86">
        <v>2.25</v>
      </c>
      <c r="M86">
        <v>2.2999999999999998</v>
      </c>
      <c r="N86">
        <v>2.04</v>
      </c>
      <c r="O86">
        <v>2.69</v>
      </c>
      <c r="P86" s="5">
        <f t="shared" si="19"/>
        <v>0.16979399282660149</v>
      </c>
      <c r="Q86" s="3">
        <f t="shared" si="22"/>
        <v>2.14</v>
      </c>
      <c r="R86" s="2">
        <f t="shared" si="20"/>
        <v>3.15</v>
      </c>
      <c r="S86" s="27">
        <f t="shared" si="21"/>
        <v>47.196261682242977</v>
      </c>
    </row>
    <row r="87" spans="1:66" x14ac:dyDescent="0.25">
      <c r="A87" s="68"/>
      <c r="B87" s="3" t="s">
        <v>100</v>
      </c>
      <c r="C87" s="21" t="s">
        <v>158</v>
      </c>
      <c r="D87">
        <v>1.29</v>
      </c>
      <c r="E87">
        <v>2.1800000000000002</v>
      </c>
      <c r="F87">
        <v>2.11</v>
      </c>
      <c r="G87">
        <v>2.23</v>
      </c>
      <c r="H87">
        <v>1.97</v>
      </c>
      <c r="I87">
        <v>1.98</v>
      </c>
      <c r="J87">
        <v>2.0299999999999998</v>
      </c>
      <c r="K87">
        <v>3.16</v>
      </c>
      <c r="L87">
        <v>3.31</v>
      </c>
      <c r="M87">
        <v>3</v>
      </c>
      <c r="N87">
        <v>2.5</v>
      </c>
      <c r="O87">
        <v>2.44</v>
      </c>
      <c r="P87" s="5">
        <f t="shared" si="19"/>
        <v>0.38494155400527896</v>
      </c>
      <c r="Q87" s="3">
        <f t="shared" si="22"/>
        <v>2.11</v>
      </c>
      <c r="R87" s="2">
        <f t="shared" si="20"/>
        <v>3.31</v>
      </c>
      <c r="S87" s="27">
        <f t="shared" si="21"/>
        <v>56.872037914691951</v>
      </c>
    </row>
    <row r="88" spans="1:66" x14ac:dyDescent="0.25">
      <c r="A88" s="68"/>
      <c r="B88" s="3" t="s">
        <v>100</v>
      </c>
      <c r="C88" s="21" t="s">
        <v>159</v>
      </c>
      <c r="D88">
        <v>2.65</v>
      </c>
      <c r="E88">
        <v>2.88</v>
      </c>
      <c r="F88">
        <v>2.96</v>
      </c>
      <c r="G88">
        <v>2.8</v>
      </c>
      <c r="H88">
        <v>2.76</v>
      </c>
      <c r="I88">
        <v>2.4500000000000002</v>
      </c>
      <c r="J88">
        <v>3.41</v>
      </c>
      <c r="K88">
        <v>3.34</v>
      </c>
      <c r="L88">
        <v>3.32</v>
      </c>
      <c r="M88">
        <v>3.05</v>
      </c>
      <c r="N88">
        <v>3.01</v>
      </c>
      <c r="O88">
        <v>2.77</v>
      </c>
      <c r="P88" s="5">
        <f t="shared" si="19"/>
        <v>0.11789826122551599</v>
      </c>
      <c r="Q88" s="3">
        <f t="shared" si="22"/>
        <v>2.8</v>
      </c>
      <c r="R88" s="2">
        <f t="shared" si="20"/>
        <v>3.41</v>
      </c>
      <c r="S88" s="27">
        <f t="shared" si="21"/>
        <v>21.785714285714299</v>
      </c>
    </row>
    <row r="89" spans="1:66" x14ac:dyDescent="0.25">
      <c r="A89" s="68"/>
      <c r="B89" s="3" t="s">
        <v>100</v>
      </c>
      <c r="C89" s="21" t="s">
        <v>160</v>
      </c>
      <c r="D89">
        <v>0.88</v>
      </c>
      <c r="E89">
        <v>1.05</v>
      </c>
      <c r="F89">
        <v>1.1499999999999999</v>
      </c>
      <c r="G89">
        <v>1.04</v>
      </c>
      <c r="H89">
        <v>0.91</v>
      </c>
      <c r="I89">
        <v>1.83</v>
      </c>
      <c r="J89">
        <v>2.21</v>
      </c>
      <c r="K89">
        <v>2.2999999999999998</v>
      </c>
      <c r="L89">
        <v>2.27</v>
      </c>
      <c r="M89">
        <v>2.41</v>
      </c>
      <c r="N89">
        <v>2.27</v>
      </c>
      <c r="O89">
        <v>2.4</v>
      </c>
      <c r="P89" s="5">
        <f t="shared" si="19"/>
        <v>0.110589330407594</v>
      </c>
      <c r="Q89" s="3">
        <f t="shared" si="22"/>
        <v>1.04</v>
      </c>
      <c r="R89" s="2">
        <f t="shared" si="20"/>
        <v>2.41</v>
      </c>
      <c r="S89" s="27">
        <f t="shared" si="21"/>
        <v>131.73076923076923</v>
      </c>
    </row>
    <row r="90" spans="1:66" x14ac:dyDescent="0.25">
      <c r="A90" s="68"/>
      <c r="B90" s="3" t="s">
        <v>100</v>
      </c>
      <c r="C90" s="21" t="s">
        <v>161</v>
      </c>
      <c r="D90">
        <v>3.39</v>
      </c>
      <c r="E90">
        <v>3.46</v>
      </c>
      <c r="F90">
        <v>3.51</v>
      </c>
      <c r="G90">
        <v>3.49</v>
      </c>
      <c r="H90">
        <v>3.44</v>
      </c>
      <c r="I90">
        <v>2.72</v>
      </c>
      <c r="J90">
        <v>2.69</v>
      </c>
      <c r="K90">
        <v>3.44</v>
      </c>
      <c r="L90">
        <v>3.44</v>
      </c>
      <c r="M90">
        <v>3.33</v>
      </c>
      <c r="N90">
        <v>3.23</v>
      </c>
      <c r="O90">
        <v>3.07</v>
      </c>
      <c r="P90" s="5">
        <f t="shared" si="19"/>
        <v>4.6583258795408401E-2</v>
      </c>
      <c r="Q90" s="3">
        <f t="shared" si="22"/>
        <v>3.46</v>
      </c>
      <c r="R90" s="2">
        <f t="shared" si="20"/>
        <v>3.44</v>
      </c>
      <c r="S90" s="27">
        <f t="shared" si="21"/>
        <v>-0.57803468208092534</v>
      </c>
    </row>
    <row r="91" spans="1:66" x14ac:dyDescent="0.25">
      <c r="A91" s="68"/>
      <c r="B91" s="3" t="s">
        <v>100</v>
      </c>
      <c r="C91" s="21" t="s">
        <v>162</v>
      </c>
      <c r="D91">
        <v>1.87</v>
      </c>
      <c r="E91">
        <v>1.74</v>
      </c>
      <c r="F91">
        <v>1.81</v>
      </c>
      <c r="G91">
        <v>2.16</v>
      </c>
      <c r="H91">
        <v>1.97</v>
      </c>
      <c r="I91">
        <v>1.98</v>
      </c>
      <c r="J91">
        <v>3.07</v>
      </c>
      <c r="K91">
        <v>2.79</v>
      </c>
      <c r="L91">
        <v>2.5099999999999998</v>
      </c>
      <c r="M91">
        <v>2.54</v>
      </c>
      <c r="N91">
        <v>2.65</v>
      </c>
      <c r="O91">
        <v>2.65</v>
      </c>
      <c r="P91" s="5">
        <f t="shared" si="19"/>
        <v>0.16324827717314511</v>
      </c>
      <c r="Q91" s="3">
        <f t="shared" si="22"/>
        <v>1.87</v>
      </c>
      <c r="R91" s="2">
        <f t="shared" si="20"/>
        <v>3.07</v>
      </c>
      <c r="S91" s="27">
        <f t="shared" si="21"/>
        <v>64.171122994652393</v>
      </c>
    </row>
    <row r="92" spans="1:66" ht="16.5" thickBot="1" x14ac:dyDescent="0.3">
      <c r="A92" s="68"/>
      <c r="B92" s="3" t="s">
        <v>100</v>
      </c>
      <c r="C92" s="21" t="s">
        <v>163</v>
      </c>
      <c r="D92">
        <v>2.52</v>
      </c>
      <c r="E92">
        <v>2.4900000000000002</v>
      </c>
      <c r="F92">
        <v>2.94</v>
      </c>
      <c r="G92">
        <v>2.89</v>
      </c>
      <c r="H92">
        <v>2.42</v>
      </c>
      <c r="I92">
        <v>1.82</v>
      </c>
      <c r="J92">
        <v>2.0099999999999998</v>
      </c>
      <c r="K92">
        <v>3.34</v>
      </c>
      <c r="L92">
        <v>3.32</v>
      </c>
      <c r="M92">
        <v>2.95</v>
      </c>
      <c r="N92">
        <v>2.94</v>
      </c>
      <c r="O92">
        <v>3.09</v>
      </c>
      <c r="P92" s="5">
        <f t="shared" si="19"/>
        <v>0.24345430782797825</v>
      </c>
      <c r="Q92" s="3">
        <f t="shared" si="22"/>
        <v>2.52</v>
      </c>
      <c r="R92" s="2">
        <f t="shared" si="20"/>
        <v>3.34</v>
      </c>
      <c r="S92" s="27">
        <f t="shared" si="21"/>
        <v>32.539682539682531</v>
      </c>
      <c r="T92">
        <v>2.87</v>
      </c>
      <c r="U92">
        <v>2.29</v>
      </c>
      <c r="V92">
        <v>1.92</v>
      </c>
      <c r="W92">
        <v>3.11</v>
      </c>
      <c r="X92">
        <v>2.89</v>
      </c>
      <c r="Y92">
        <v>2.84</v>
      </c>
      <c r="Z92">
        <v>2.4</v>
      </c>
      <c r="AA92">
        <v>3.04</v>
      </c>
      <c r="AB92">
        <v>3.23</v>
      </c>
      <c r="AC92">
        <v>3.34</v>
      </c>
      <c r="AD92">
        <v>3.27</v>
      </c>
      <c r="AE92">
        <v>3.12</v>
      </c>
      <c r="AI92">
        <v>2.66</v>
      </c>
      <c r="AJ92">
        <v>2.85</v>
      </c>
      <c r="AK92">
        <v>3.1</v>
      </c>
      <c r="AL92">
        <v>3.07</v>
      </c>
      <c r="AM92">
        <v>3.1</v>
      </c>
      <c r="AN92">
        <v>2.1</v>
      </c>
      <c r="AO92">
        <v>3.29</v>
      </c>
      <c r="AP92">
        <v>3.09</v>
      </c>
      <c r="AQ92">
        <v>3.1</v>
      </c>
      <c r="AR92">
        <v>3.2</v>
      </c>
      <c r="AS92">
        <v>3.02</v>
      </c>
      <c r="AT92">
        <v>3.17</v>
      </c>
      <c r="AX92">
        <v>2.42</v>
      </c>
      <c r="AY92">
        <v>2.84</v>
      </c>
      <c r="AZ92">
        <v>3.03</v>
      </c>
      <c r="BA92">
        <v>2.9</v>
      </c>
      <c r="BB92">
        <v>2.95</v>
      </c>
      <c r="BC92">
        <v>2.44</v>
      </c>
      <c r="BD92">
        <v>3.3</v>
      </c>
      <c r="BE92">
        <v>3.08</v>
      </c>
      <c r="BF92">
        <v>2.89</v>
      </c>
      <c r="BG92">
        <v>2.89</v>
      </c>
      <c r="BH92">
        <v>2.73</v>
      </c>
      <c r="BI92">
        <v>2.64</v>
      </c>
    </row>
    <row r="93" spans="1:66" x14ac:dyDescent="0.25">
      <c r="A93" s="4"/>
      <c r="B93" s="3" t="s">
        <v>100</v>
      </c>
      <c r="C93" s="21" t="s">
        <v>164</v>
      </c>
      <c r="D93">
        <v>1.57</v>
      </c>
      <c r="E93">
        <v>2.23</v>
      </c>
      <c r="F93">
        <v>2.5099999999999998</v>
      </c>
      <c r="G93">
        <v>2.62</v>
      </c>
      <c r="H93">
        <v>2.16</v>
      </c>
      <c r="I93">
        <v>1.89</v>
      </c>
      <c r="J93">
        <v>3.35</v>
      </c>
      <c r="K93">
        <v>3.22</v>
      </c>
      <c r="L93">
        <v>3.15</v>
      </c>
      <c r="M93">
        <v>3.17</v>
      </c>
      <c r="N93">
        <v>2.91</v>
      </c>
      <c r="O93">
        <v>2.86</v>
      </c>
      <c r="P93" s="5">
        <f t="shared" si="19"/>
        <v>0.40935314827175867</v>
      </c>
      <c r="Q93" s="3">
        <f t="shared" si="22"/>
        <v>2.23</v>
      </c>
      <c r="R93" s="2">
        <f t="shared" si="20"/>
        <v>3.35</v>
      </c>
      <c r="S93" s="27">
        <f t="shared" si="21"/>
        <v>50.224215246636781</v>
      </c>
      <c r="T93">
        <v>1.91</v>
      </c>
      <c r="U93">
        <v>2.37</v>
      </c>
      <c r="V93">
        <v>2.44</v>
      </c>
      <c r="W93">
        <v>2.5499999999999998</v>
      </c>
      <c r="X93">
        <v>2.56</v>
      </c>
      <c r="Y93">
        <v>1.27</v>
      </c>
      <c r="Z93">
        <v>3.37</v>
      </c>
      <c r="AA93">
        <v>2.42</v>
      </c>
      <c r="AB93">
        <v>2.48</v>
      </c>
      <c r="AC93">
        <v>2.09</v>
      </c>
      <c r="AD93">
        <v>2.04</v>
      </c>
      <c r="AE93">
        <v>2.4300000000000002</v>
      </c>
      <c r="AS93" s="9"/>
      <c r="AT93" s="8" t="s">
        <v>113</v>
      </c>
      <c r="AU93" s="10">
        <v>5</v>
      </c>
      <c r="AV93" s="15" t="s">
        <v>114</v>
      </c>
      <c r="AW93" s="16"/>
      <c r="AX93" s="11"/>
      <c r="AY93" s="12"/>
      <c r="BG93" s="9"/>
      <c r="BH93" s="9"/>
      <c r="BI93" s="8" t="s">
        <v>113</v>
      </c>
      <c r="BJ93" s="10">
        <v>5</v>
      </c>
      <c r="BK93" s="15" t="s">
        <v>114</v>
      </c>
      <c r="BL93" s="16"/>
      <c r="BM93" s="11"/>
      <c r="BN93" s="12"/>
    </row>
    <row r="94" spans="1:66" x14ac:dyDescent="0.25">
      <c r="A94" s="4"/>
      <c r="B94" s="3"/>
      <c r="C94" s="21"/>
      <c r="P94" s="31" t="s">
        <v>110</v>
      </c>
      <c r="Q94" s="29">
        <f>AVERAGE(Q81:Q93)</f>
        <v>2.2284615384615387</v>
      </c>
      <c r="R94" s="30">
        <f>AVERAGE(R85:R93)</f>
        <v>3.2122222222222225</v>
      </c>
      <c r="S94" s="29">
        <f>AVERAGE(S81:S93)</f>
        <v>44.838354215929911</v>
      </c>
      <c r="AG94" s="44"/>
      <c r="AH94" s="45"/>
      <c r="AJ94" s="46"/>
      <c r="AS94" s="9"/>
      <c r="AT94" s="8"/>
      <c r="AU94" s="10"/>
      <c r="AV94" s="44"/>
      <c r="AW94" s="45"/>
      <c r="AY94" s="46"/>
      <c r="BG94" s="9"/>
      <c r="BH94" s="9"/>
      <c r="BI94" s="8"/>
      <c r="BJ94" s="10"/>
      <c r="BK94" s="44"/>
      <c r="BL94" s="45"/>
      <c r="BN94" s="46"/>
    </row>
    <row r="95" spans="1:66" x14ac:dyDescent="0.25">
      <c r="A95" s="4"/>
      <c r="B95" s="3"/>
      <c r="C95" s="21"/>
      <c r="P95" s="31" t="s">
        <v>111</v>
      </c>
      <c r="Q95" s="29">
        <f>STDEVA(Q81:Q93)</f>
        <v>0.63229537077020859</v>
      </c>
      <c r="R95" s="29">
        <f>STDEVA(R85:R93)</f>
        <v>0.32614328821002042</v>
      </c>
      <c r="S95" s="29">
        <f>STDEVA(S81:S93)</f>
        <v>35.97687410894774</v>
      </c>
      <c r="AG95" s="44"/>
      <c r="AH95" s="45"/>
      <c r="AJ95" s="46"/>
      <c r="AS95" s="9"/>
      <c r="AT95" s="8"/>
      <c r="AU95" s="10"/>
      <c r="AV95" s="44"/>
      <c r="AW95" s="45"/>
      <c r="AY95" s="46"/>
      <c r="BG95" s="9"/>
      <c r="BH95" s="9"/>
      <c r="BI95" s="8"/>
      <c r="BJ95" s="10"/>
      <c r="BK95" s="44"/>
      <c r="BL95" s="45"/>
      <c r="BN95" s="46"/>
    </row>
    <row r="96" spans="1:66" ht="16.5" thickBot="1" x14ac:dyDescent="0.3">
      <c r="A96" s="4"/>
      <c r="B96" s="3"/>
      <c r="C96" s="21"/>
      <c r="P96" s="31" t="s">
        <v>112</v>
      </c>
      <c r="Q96" s="32">
        <f>Q95/Q94</f>
        <v>0.28373627269633106</v>
      </c>
      <c r="R96" s="32">
        <f>R95/R94</f>
        <v>0.10153198180180503</v>
      </c>
      <c r="S96" s="32">
        <f>S95/S94</f>
        <v>0.80236830138083182</v>
      </c>
      <c r="AG96" s="44"/>
      <c r="AH96" s="45"/>
      <c r="AJ96" s="46"/>
      <c r="AS96" s="9"/>
      <c r="AT96" s="8"/>
      <c r="AU96" s="10"/>
      <c r="AV96" s="44"/>
      <c r="AW96" s="45"/>
      <c r="AY96" s="46"/>
      <c r="BG96" s="9"/>
      <c r="BH96" s="9"/>
      <c r="BI96" s="8"/>
      <c r="BJ96" s="10"/>
      <c r="BK96" s="44"/>
      <c r="BL96" s="45"/>
      <c r="BN96" s="46"/>
    </row>
    <row r="97" spans="1:66" ht="16.5" thickBot="1" x14ac:dyDescent="0.3">
      <c r="A97" s="4"/>
      <c r="B97" s="3"/>
      <c r="N97" s="9"/>
      <c r="O97" s="8" t="s">
        <v>113</v>
      </c>
      <c r="P97" s="10">
        <v>5</v>
      </c>
      <c r="Q97" s="15" t="s">
        <v>114</v>
      </c>
      <c r="R97" s="16"/>
      <c r="S97" s="16"/>
      <c r="T97" s="16"/>
      <c r="U97" s="17"/>
      <c r="AC97" s="9"/>
      <c r="AD97" s="9"/>
      <c r="AE97" s="8" t="s">
        <v>113</v>
      </c>
      <c r="AF97" s="10">
        <v>5</v>
      </c>
      <c r="AG97" s="18" t="s">
        <v>114</v>
      </c>
      <c r="AH97" s="13"/>
      <c r="AI97" s="13"/>
      <c r="AJ97" s="14"/>
      <c r="AS97" s="9"/>
      <c r="AT97" s="8" t="s">
        <v>115</v>
      </c>
      <c r="AU97" s="10">
        <v>10</v>
      </c>
      <c r="AV97" s="18" t="s">
        <v>114</v>
      </c>
      <c r="AW97" s="13"/>
      <c r="AX97" s="13"/>
      <c r="AY97" s="14"/>
      <c r="BG97" s="9"/>
      <c r="BH97" s="9"/>
      <c r="BI97" s="8" t="s">
        <v>115</v>
      </c>
      <c r="BJ97" s="10">
        <v>10</v>
      </c>
      <c r="BK97" s="18" t="s">
        <v>114</v>
      </c>
      <c r="BL97" s="13"/>
      <c r="BM97" s="13"/>
      <c r="BN97" s="14"/>
    </row>
    <row r="98" spans="1:66" ht="16.5" thickBot="1" x14ac:dyDescent="0.3">
      <c r="A98" s="4"/>
      <c r="B98" s="3"/>
      <c r="N98" s="9"/>
      <c r="O98" s="8" t="s">
        <v>115</v>
      </c>
      <c r="P98" s="10">
        <v>13</v>
      </c>
      <c r="Q98" s="18" t="s">
        <v>114</v>
      </c>
      <c r="R98" s="13"/>
      <c r="S98" s="13"/>
      <c r="T98" s="13"/>
      <c r="U98" s="14"/>
      <c r="AC98" s="9"/>
      <c r="AD98" s="9"/>
      <c r="AE98" s="8" t="s">
        <v>115</v>
      </c>
      <c r="AF98" s="10">
        <v>10</v>
      </c>
      <c r="AT98" s="2" t="s">
        <v>116</v>
      </c>
      <c r="AU98" s="5" t="e">
        <f>SQRT(AVERAGE(AU81:AU92))</f>
        <v>#DIV/0!</v>
      </c>
      <c r="BI98" s="2" t="s">
        <v>116</v>
      </c>
      <c r="BJ98" s="5" t="e">
        <f>SQRT(AVERAGE(BJ81:BJ92))</f>
        <v>#DIV/0!</v>
      </c>
    </row>
    <row r="99" spans="1:66" x14ac:dyDescent="0.25">
      <c r="A99" s="4"/>
      <c r="B99" s="3"/>
      <c r="O99" s="2" t="s">
        <v>116</v>
      </c>
      <c r="P99" s="27">
        <f>SQRT(AVERAGE(P81:P93))</f>
        <v>0.48142924315449614</v>
      </c>
      <c r="AE99" s="2" t="s">
        <v>116</v>
      </c>
      <c r="AF99" s="5" t="e">
        <f>SQRT(AVERAGE(AF81:AF92))</f>
        <v>#DIV/0!</v>
      </c>
      <c r="AT99" s="2" t="s">
        <v>117</v>
      </c>
      <c r="AU99" s="5" t="e">
        <f>2.77*AU98</f>
        <v>#DIV/0!</v>
      </c>
      <c r="BI99" s="2" t="s">
        <v>117</v>
      </c>
      <c r="BJ99" s="5" t="e">
        <f>2.77*BJ98</f>
        <v>#DIV/0!</v>
      </c>
    </row>
    <row r="100" spans="1:66" x14ac:dyDescent="0.25">
      <c r="A100" s="4"/>
      <c r="B100" s="3"/>
      <c r="O100" s="2" t="s">
        <v>117</v>
      </c>
      <c r="P100" s="27">
        <f>2.77*P99</f>
        <v>1.3335590035379543</v>
      </c>
      <c r="AE100" s="2" t="s">
        <v>117</v>
      </c>
      <c r="AF100" s="5" t="e">
        <f>2.77*AF99</f>
        <v>#DIV/0!</v>
      </c>
      <c r="AT100" s="2" t="s">
        <v>118</v>
      </c>
      <c r="AU100" s="5" t="e">
        <f>AU99-(1.96*(AU98/(SQRT(2*AU97*(AU93-1)))))</f>
        <v>#DIV/0!</v>
      </c>
      <c r="BI100" s="2" t="s">
        <v>118</v>
      </c>
      <c r="BJ100" s="5" t="e">
        <f>BJ99-(1.96*(BJ98/(SQRT(2*BJ97*(BJ93-1)))))</f>
        <v>#DIV/0!</v>
      </c>
    </row>
    <row r="101" spans="1:66" x14ac:dyDescent="0.25">
      <c r="A101" s="4"/>
      <c r="B101" s="3"/>
      <c r="O101" s="2" t="s">
        <v>118</v>
      </c>
      <c r="P101" s="27">
        <f>P100-(1.96*(P99/(SQRT(2*P98*(P97-1)))))</f>
        <v>1.2410312818781928</v>
      </c>
      <c r="AE101" s="2" t="s">
        <v>118</v>
      </c>
      <c r="AF101" s="5" t="e">
        <f>AF100-(1.96*(AF99/(SQRT(2*AF98*(AF97-1)))))</f>
        <v>#DIV/0!</v>
      </c>
      <c r="AT101" s="2" t="s">
        <v>119</v>
      </c>
      <c r="AU101" s="5" t="e">
        <f>AU99+(1.96*(AU98/(SQRT(2*AU97*(AU93-1)))))</f>
        <v>#DIV/0!</v>
      </c>
      <c r="BI101" s="2" t="s">
        <v>119</v>
      </c>
      <c r="BJ101" s="5" t="e">
        <f>BJ99+(1.96*(BJ98/(SQRT(2*BJ97*(BJ93-1)))))</f>
        <v>#DIV/0!</v>
      </c>
    </row>
    <row r="102" spans="1:66" x14ac:dyDescent="0.25">
      <c r="A102" s="4"/>
      <c r="B102" s="3"/>
      <c r="O102" s="2" t="s">
        <v>119</v>
      </c>
      <c r="P102" s="27">
        <f>P100+(1.96*(P99/(SQRT(2*P98*(P97-1)))))</f>
        <v>1.4260867251977158</v>
      </c>
      <c r="AE102" s="2" t="s">
        <v>119</v>
      </c>
      <c r="AF102" s="5" t="e">
        <f>AF100+(1.96*(AF99/(SQRT(2*AF98*(AF97-1)))))</f>
        <v>#DIV/0!</v>
      </c>
      <c r="AT102" s="2" t="s">
        <v>119</v>
      </c>
      <c r="AU102" s="5" t="e">
        <f>AU100+(1.96*(AU99/(SQRT(2*AU98*(AU97-1)))))</f>
        <v>#DIV/0!</v>
      </c>
      <c r="BI102" s="2" t="s">
        <v>119</v>
      </c>
      <c r="BJ102" s="5" t="e">
        <f>BJ100+(1.96*(BJ99/(SQRT(2*BJ98*(BJ97-1)))))</f>
        <v>#DIV/0!</v>
      </c>
    </row>
    <row r="103" spans="1:66" s="40" customFormat="1" x14ac:dyDescent="0.25">
      <c r="A103" s="41"/>
      <c r="B103" s="39"/>
      <c r="O103" s="42"/>
      <c r="P103" s="43"/>
      <c r="AE103" s="42"/>
      <c r="AF103" s="43"/>
      <c r="AT103" s="42"/>
      <c r="AU103" s="43"/>
      <c r="BI103" s="42"/>
      <c r="BJ103" s="43"/>
    </row>
    <row r="104" spans="1:66" x14ac:dyDescent="0.25">
      <c r="A104" s="67" t="s">
        <v>165</v>
      </c>
      <c r="B104" s="3"/>
      <c r="P104" s="5"/>
      <c r="Q104" s="3"/>
      <c r="R104" s="2"/>
      <c r="S104" s="27"/>
    </row>
    <row r="105" spans="1:66" x14ac:dyDescent="0.25">
      <c r="A105" s="67"/>
      <c r="B105" s="3"/>
      <c r="P105" s="5"/>
      <c r="Q105" s="3"/>
      <c r="R105" s="2"/>
      <c r="S105" s="27"/>
    </row>
    <row r="106" spans="1:66" x14ac:dyDescent="0.25">
      <c r="A106" s="67"/>
      <c r="B106" s="3" t="s">
        <v>166</v>
      </c>
      <c r="C106" t="s">
        <v>167</v>
      </c>
      <c r="D106">
        <v>1.58</v>
      </c>
      <c r="E106">
        <v>1.53</v>
      </c>
      <c r="F106">
        <v>1.51</v>
      </c>
      <c r="G106">
        <v>1.47</v>
      </c>
      <c r="H106">
        <v>1.34</v>
      </c>
      <c r="I106">
        <v>2.39</v>
      </c>
      <c r="J106">
        <v>2.29</v>
      </c>
      <c r="K106">
        <v>2.21</v>
      </c>
      <c r="L106">
        <v>2.4500000000000002</v>
      </c>
      <c r="M106">
        <v>2.4500000000000002</v>
      </c>
      <c r="N106">
        <v>2.48</v>
      </c>
      <c r="O106">
        <v>2.4</v>
      </c>
      <c r="P106" s="5">
        <f t="shared" ref="P106:P112" si="23">IFERROR(STDEVA(D106:H106),#N/A)</f>
        <v>9.0719347440333803E-2</v>
      </c>
      <c r="Q106" s="3">
        <f t="shared" ref="Q106:Q112" si="24">MEDIAN(D106:H106)</f>
        <v>1.51</v>
      </c>
      <c r="R106" s="2">
        <f t="shared" ref="R106:R112" si="25">MAX(J106:O106)</f>
        <v>2.48</v>
      </c>
      <c r="S106" s="27">
        <f t="shared" ref="S106:S112" si="26">100*(R106-Q106)/Q106</f>
        <v>64.238410596026483</v>
      </c>
      <c r="T106">
        <v>1.78</v>
      </c>
      <c r="U106">
        <v>2</v>
      </c>
      <c r="V106">
        <v>2</v>
      </c>
      <c r="W106">
        <v>1.91</v>
      </c>
      <c r="X106">
        <v>1.95</v>
      </c>
      <c r="Y106">
        <v>1.7</v>
      </c>
      <c r="Z106">
        <v>2.56</v>
      </c>
      <c r="AA106">
        <v>2.41</v>
      </c>
      <c r="AB106">
        <v>2.4300000000000002</v>
      </c>
      <c r="AC106">
        <v>2.23</v>
      </c>
      <c r="AD106">
        <v>2.0099999999999998</v>
      </c>
      <c r="AE106">
        <v>1.81</v>
      </c>
      <c r="AI106">
        <v>0.85</v>
      </c>
      <c r="AJ106">
        <v>0.95</v>
      </c>
      <c r="AK106">
        <v>1.45</v>
      </c>
      <c r="AL106">
        <v>1.75</v>
      </c>
      <c r="AM106">
        <v>1.25</v>
      </c>
      <c r="AN106">
        <v>1.48</v>
      </c>
      <c r="AO106">
        <v>1.73</v>
      </c>
      <c r="AP106">
        <v>1.7</v>
      </c>
      <c r="AQ106">
        <v>1.68</v>
      </c>
      <c r="AR106">
        <v>1.21</v>
      </c>
      <c r="AS106">
        <v>1.42</v>
      </c>
      <c r="AT106">
        <v>1.39</v>
      </c>
      <c r="AX106">
        <v>1.83</v>
      </c>
      <c r="AY106">
        <v>1.63</v>
      </c>
      <c r="AZ106">
        <v>1.72</v>
      </c>
      <c r="BA106">
        <v>1.68</v>
      </c>
      <c r="BB106">
        <v>1.72</v>
      </c>
      <c r="BC106">
        <v>2.0499999999999998</v>
      </c>
      <c r="BD106">
        <v>2.02</v>
      </c>
      <c r="BE106">
        <v>1.89</v>
      </c>
      <c r="BF106">
        <v>1.87</v>
      </c>
      <c r="BG106">
        <v>1.88</v>
      </c>
      <c r="BH106">
        <v>1.9</v>
      </c>
      <c r="BI106">
        <v>1.77</v>
      </c>
    </row>
    <row r="107" spans="1:66" x14ac:dyDescent="0.25">
      <c r="A107" s="67"/>
      <c r="B107" s="3" t="s">
        <v>166</v>
      </c>
      <c r="C107" t="s">
        <v>168</v>
      </c>
      <c r="E107">
        <v>1.77</v>
      </c>
      <c r="F107">
        <v>1.89</v>
      </c>
      <c r="G107">
        <v>1.85</v>
      </c>
      <c r="H107">
        <v>1.63</v>
      </c>
      <c r="I107">
        <v>1.44</v>
      </c>
      <c r="J107">
        <v>1.37</v>
      </c>
      <c r="K107">
        <v>1.01</v>
      </c>
      <c r="L107">
        <v>0.94</v>
      </c>
      <c r="M107">
        <v>1.03</v>
      </c>
      <c r="N107">
        <v>1.1399999999999999</v>
      </c>
      <c r="O107">
        <v>1.41</v>
      </c>
      <c r="P107" s="5">
        <f t="shared" si="23"/>
        <v>0.11474609652039007</v>
      </c>
      <c r="Q107" s="3">
        <f t="shared" si="24"/>
        <v>1.81</v>
      </c>
      <c r="R107" s="2">
        <f t="shared" si="25"/>
        <v>1.41</v>
      </c>
      <c r="S107" s="27">
        <f t="shared" si="26"/>
        <v>-22.099447513812162</v>
      </c>
      <c r="T107">
        <v>1.46</v>
      </c>
      <c r="U107">
        <v>1.57</v>
      </c>
      <c r="V107">
        <v>1.66</v>
      </c>
      <c r="W107">
        <v>1.66</v>
      </c>
      <c r="X107">
        <v>1.58</v>
      </c>
      <c r="Y107">
        <v>1.72</v>
      </c>
      <c r="Z107">
        <v>1.49</v>
      </c>
      <c r="AA107">
        <v>2.57</v>
      </c>
      <c r="AB107">
        <v>2.5</v>
      </c>
      <c r="AC107">
        <v>2.1</v>
      </c>
      <c r="AD107">
        <v>1.85</v>
      </c>
      <c r="AE107">
        <v>1.23</v>
      </c>
      <c r="AI107">
        <v>0.94</v>
      </c>
      <c r="AJ107">
        <v>0.79</v>
      </c>
      <c r="AK107">
        <v>0.93</v>
      </c>
      <c r="AL107">
        <v>1.07</v>
      </c>
      <c r="AM107">
        <v>0.88</v>
      </c>
      <c r="AN107">
        <v>1</v>
      </c>
      <c r="AO107">
        <v>1.6</v>
      </c>
      <c r="AP107">
        <v>1.79</v>
      </c>
      <c r="AQ107">
        <v>1.47</v>
      </c>
      <c r="AR107">
        <v>1.61</v>
      </c>
      <c r="AS107">
        <v>1.84</v>
      </c>
      <c r="AT107">
        <v>1.58</v>
      </c>
      <c r="AX107">
        <v>1.75</v>
      </c>
      <c r="AY107">
        <v>2.08</v>
      </c>
      <c r="AZ107">
        <v>1.55</v>
      </c>
      <c r="BA107">
        <v>1.7</v>
      </c>
      <c r="BB107">
        <v>1.25</v>
      </c>
      <c r="BC107">
        <v>1</v>
      </c>
      <c r="BD107">
        <v>2.63</v>
      </c>
      <c r="BE107">
        <v>2.4900000000000002</v>
      </c>
      <c r="BF107">
        <v>2.2400000000000002</v>
      </c>
      <c r="BG107">
        <v>1.96</v>
      </c>
      <c r="BH107">
        <v>1.41</v>
      </c>
      <c r="BI107">
        <v>1.59</v>
      </c>
    </row>
    <row r="108" spans="1:66" x14ac:dyDescent="0.25">
      <c r="A108" s="67"/>
      <c r="B108" s="3" t="s">
        <v>166</v>
      </c>
      <c r="C108" t="s">
        <v>169</v>
      </c>
      <c r="D108">
        <v>1.4</v>
      </c>
      <c r="E108">
        <v>1.85</v>
      </c>
      <c r="F108">
        <v>1.78</v>
      </c>
      <c r="G108">
        <v>1.38</v>
      </c>
      <c r="H108">
        <v>0.97</v>
      </c>
      <c r="I108">
        <v>0.81</v>
      </c>
      <c r="J108">
        <v>2.44</v>
      </c>
      <c r="K108">
        <v>2.38</v>
      </c>
      <c r="L108">
        <v>2.2599999999999998</v>
      </c>
      <c r="M108">
        <v>2.1</v>
      </c>
      <c r="N108">
        <v>1.97</v>
      </c>
      <c r="O108">
        <v>1.61</v>
      </c>
      <c r="P108" s="5">
        <f t="shared" si="23"/>
        <v>0.35472524578890585</v>
      </c>
      <c r="Q108" s="3">
        <f t="shared" si="24"/>
        <v>1.4</v>
      </c>
      <c r="R108" s="2">
        <f t="shared" si="25"/>
        <v>2.44</v>
      </c>
      <c r="S108" s="27">
        <f t="shared" si="26"/>
        <v>74.285714285714292</v>
      </c>
      <c r="T108">
        <v>1.46</v>
      </c>
      <c r="U108">
        <v>1.85</v>
      </c>
      <c r="V108">
        <v>1.52</v>
      </c>
      <c r="W108">
        <v>2.33</v>
      </c>
      <c r="X108">
        <v>2.23</v>
      </c>
      <c r="Y108">
        <v>1.06</v>
      </c>
      <c r="Z108">
        <v>2.57</v>
      </c>
      <c r="AA108">
        <v>2.69</v>
      </c>
      <c r="AB108">
        <v>2.61</v>
      </c>
      <c r="AC108">
        <v>2.56</v>
      </c>
      <c r="AD108">
        <v>2.56</v>
      </c>
      <c r="AE108">
        <v>2.42</v>
      </c>
      <c r="AI108">
        <v>1.35</v>
      </c>
      <c r="AJ108">
        <v>1.9</v>
      </c>
      <c r="AK108">
        <v>1.97</v>
      </c>
      <c r="AL108">
        <v>1.84</v>
      </c>
      <c r="AM108">
        <v>1.36</v>
      </c>
      <c r="AN108">
        <v>0.82</v>
      </c>
      <c r="AO108">
        <v>2.4300000000000002</v>
      </c>
      <c r="AP108">
        <v>2.39</v>
      </c>
      <c r="AQ108">
        <v>2.0499999999999998</v>
      </c>
      <c r="AR108">
        <v>1.74</v>
      </c>
      <c r="AS108">
        <v>1.37</v>
      </c>
      <c r="AT108">
        <v>1.07</v>
      </c>
      <c r="AX108">
        <v>1.5</v>
      </c>
      <c r="AY108">
        <v>1.55</v>
      </c>
      <c r="AZ108">
        <v>1.32</v>
      </c>
      <c r="BA108">
        <v>1.68</v>
      </c>
      <c r="BB108">
        <v>1.57</v>
      </c>
      <c r="BC108">
        <v>1.29</v>
      </c>
      <c r="BD108">
        <v>2.33</v>
      </c>
      <c r="BE108">
        <v>1.95</v>
      </c>
      <c r="BF108">
        <v>1.88</v>
      </c>
      <c r="BG108">
        <v>1.56</v>
      </c>
      <c r="BH108">
        <v>1.58</v>
      </c>
      <c r="BI108">
        <v>1.39</v>
      </c>
    </row>
    <row r="109" spans="1:66" x14ac:dyDescent="0.25">
      <c r="A109" s="67"/>
      <c r="B109" s="3" t="s">
        <v>166</v>
      </c>
      <c r="C109" t="s">
        <v>170</v>
      </c>
      <c r="D109">
        <v>1.36</v>
      </c>
      <c r="E109">
        <v>1.39</v>
      </c>
      <c r="F109">
        <v>1.44</v>
      </c>
      <c r="G109">
        <v>1.33</v>
      </c>
      <c r="H109">
        <v>1.42</v>
      </c>
      <c r="I109">
        <v>1.75</v>
      </c>
      <c r="J109">
        <v>2.63</v>
      </c>
      <c r="K109">
        <v>2.58</v>
      </c>
      <c r="L109">
        <v>2.4500000000000002</v>
      </c>
      <c r="M109">
        <v>2.34</v>
      </c>
      <c r="N109">
        <v>2.25</v>
      </c>
      <c r="O109">
        <v>2.3199999999999998</v>
      </c>
      <c r="P109" s="5">
        <f t="shared" si="23"/>
        <v>4.4384682042344227E-2</v>
      </c>
      <c r="Q109" s="3">
        <f t="shared" si="24"/>
        <v>1.39</v>
      </c>
      <c r="R109" s="2">
        <f t="shared" si="25"/>
        <v>2.63</v>
      </c>
      <c r="S109" s="27">
        <f t="shared" si="26"/>
        <v>89.208633093525179</v>
      </c>
      <c r="T109">
        <v>1.42</v>
      </c>
      <c r="U109">
        <v>1.26</v>
      </c>
      <c r="V109">
        <v>1.56</v>
      </c>
      <c r="W109">
        <v>1.79</v>
      </c>
      <c r="X109">
        <v>1.92</v>
      </c>
      <c r="Y109">
        <v>1.18</v>
      </c>
      <c r="Z109">
        <v>2.38</v>
      </c>
      <c r="AA109">
        <v>2.37</v>
      </c>
      <c r="AB109">
        <v>2.59</v>
      </c>
      <c r="AC109">
        <v>2.52</v>
      </c>
      <c r="AD109">
        <v>2.5499999999999998</v>
      </c>
      <c r="AE109">
        <v>2.66</v>
      </c>
      <c r="AI109">
        <v>1.1399999999999999</v>
      </c>
      <c r="AJ109">
        <v>1.54</v>
      </c>
      <c r="AK109">
        <v>1.25</v>
      </c>
      <c r="AL109">
        <v>1.56</v>
      </c>
      <c r="AM109">
        <v>1.48</v>
      </c>
      <c r="AN109">
        <v>1.55</v>
      </c>
      <c r="AO109">
        <v>2.4500000000000002</v>
      </c>
      <c r="AP109">
        <v>2.13</v>
      </c>
      <c r="AQ109">
        <v>2.09</v>
      </c>
      <c r="AR109">
        <v>2.14</v>
      </c>
      <c r="AS109">
        <v>1.95</v>
      </c>
      <c r="AT109">
        <v>2.09</v>
      </c>
      <c r="AX109">
        <v>1.29</v>
      </c>
      <c r="AY109">
        <v>1.72</v>
      </c>
      <c r="AZ109">
        <v>1.46</v>
      </c>
      <c r="BA109">
        <v>1.58</v>
      </c>
      <c r="BB109">
        <v>1.55</v>
      </c>
      <c r="BC109">
        <v>1.21</v>
      </c>
      <c r="BD109">
        <v>2.44</v>
      </c>
      <c r="BE109">
        <v>2.2200000000000002</v>
      </c>
      <c r="BF109">
        <v>2</v>
      </c>
      <c r="BG109">
        <v>2.0299999999999998</v>
      </c>
      <c r="BH109">
        <v>1.75</v>
      </c>
      <c r="BI109">
        <v>1.45</v>
      </c>
    </row>
    <row r="110" spans="1:66" x14ac:dyDescent="0.25">
      <c r="A110" s="67"/>
      <c r="B110" s="3" t="s">
        <v>166</v>
      </c>
      <c r="C110" t="s">
        <v>171</v>
      </c>
      <c r="D110">
        <v>0.93</v>
      </c>
      <c r="E110">
        <v>0.96</v>
      </c>
      <c r="F110">
        <v>0.85</v>
      </c>
      <c r="G110">
        <v>1.01</v>
      </c>
      <c r="H110">
        <v>1.27</v>
      </c>
      <c r="I110">
        <v>0.74</v>
      </c>
      <c r="J110">
        <v>2.36</v>
      </c>
      <c r="K110">
        <v>2.2999999999999998</v>
      </c>
      <c r="L110">
        <v>1.4</v>
      </c>
      <c r="M110">
        <v>1.42</v>
      </c>
      <c r="N110">
        <v>1.38</v>
      </c>
      <c r="O110">
        <v>1.29</v>
      </c>
      <c r="P110" s="5">
        <f t="shared" si="23"/>
        <v>0.15962455951388055</v>
      </c>
      <c r="Q110" s="3">
        <f t="shared" si="24"/>
        <v>0.96</v>
      </c>
      <c r="R110" s="2">
        <f t="shared" si="25"/>
        <v>2.36</v>
      </c>
      <c r="S110" s="27">
        <f t="shared" si="26"/>
        <v>145.83333333333334</v>
      </c>
      <c r="T110">
        <v>1.47</v>
      </c>
      <c r="U110">
        <v>1.63</v>
      </c>
      <c r="V110">
        <v>1.68</v>
      </c>
      <c r="W110">
        <v>1.73</v>
      </c>
      <c r="X110">
        <v>1.76</v>
      </c>
      <c r="Y110">
        <v>1.0900000000000001</v>
      </c>
      <c r="Z110">
        <v>2.4500000000000002</v>
      </c>
      <c r="AA110">
        <v>2.2400000000000002</v>
      </c>
      <c r="AB110">
        <v>1.67</v>
      </c>
      <c r="AC110">
        <v>1.67</v>
      </c>
      <c r="AD110">
        <v>1.65</v>
      </c>
      <c r="AE110">
        <v>1.79</v>
      </c>
      <c r="AI110">
        <v>1.78</v>
      </c>
      <c r="AJ110">
        <v>2.0099999999999998</v>
      </c>
      <c r="AK110">
        <v>1.99</v>
      </c>
      <c r="AL110">
        <v>2.25</v>
      </c>
      <c r="AM110">
        <v>2.23</v>
      </c>
      <c r="AN110">
        <v>1.47</v>
      </c>
      <c r="AO110">
        <v>2.37</v>
      </c>
      <c r="AP110">
        <v>2.36</v>
      </c>
      <c r="AQ110">
        <v>2.21</v>
      </c>
      <c r="AR110">
        <v>2.02</v>
      </c>
      <c r="AS110">
        <v>1.99</v>
      </c>
      <c r="AT110">
        <v>1.97</v>
      </c>
      <c r="AX110">
        <v>1.87</v>
      </c>
      <c r="AY110">
        <v>2.02</v>
      </c>
      <c r="AZ110">
        <v>1.96</v>
      </c>
      <c r="BA110">
        <v>2.11</v>
      </c>
      <c r="BB110">
        <v>1.1299999999999999</v>
      </c>
      <c r="BC110">
        <v>1.3</v>
      </c>
      <c r="BD110">
        <v>2.46</v>
      </c>
      <c r="BE110">
        <v>2.63</v>
      </c>
      <c r="BF110">
        <v>2.41</v>
      </c>
      <c r="BG110">
        <v>2.35</v>
      </c>
      <c r="BH110">
        <v>2.27</v>
      </c>
      <c r="BI110">
        <v>2.2599999999999998</v>
      </c>
    </row>
    <row r="111" spans="1:66" x14ac:dyDescent="0.25">
      <c r="A111" s="67"/>
      <c r="B111" s="3" t="s">
        <v>166</v>
      </c>
      <c r="C111" t="s">
        <v>172</v>
      </c>
      <c r="D111">
        <v>1.63</v>
      </c>
      <c r="E111">
        <v>1.48</v>
      </c>
      <c r="F111">
        <v>1.21</v>
      </c>
      <c r="G111">
        <v>1.21</v>
      </c>
      <c r="H111">
        <v>1.1399999999999999</v>
      </c>
      <c r="I111">
        <v>1.08</v>
      </c>
      <c r="J111">
        <v>2.27</v>
      </c>
      <c r="K111">
        <v>1.9</v>
      </c>
      <c r="L111">
        <v>1.48</v>
      </c>
      <c r="M111">
        <v>1.47</v>
      </c>
      <c r="N111">
        <v>1.53</v>
      </c>
      <c r="O111">
        <v>1.49</v>
      </c>
      <c r="P111" s="5">
        <f t="shared" si="23"/>
        <v>0.21054690688775157</v>
      </c>
      <c r="Q111" s="3">
        <f t="shared" si="24"/>
        <v>1.21</v>
      </c>
      <c r="R111" s="2">
        <f t="shared" si="25"/>
        <v>2.27</v>
      </c>
      <c r="S111" s="27">
        <f t="shared" si="26"/>
        <v>87.603305785123965</v>
      </c>
      <c r="T111">
        <v>1.21</v>
      </c>
      <c r="U111">
        <v>1.2</v>
      </c>
      <c r="V111">
        <v>1.07</v>
      </c>
      <c r="W111">
        <v>1.46</v>
      </c>
      <c r="X111">
        <v>1.47</v>
      </c>
      <c r="Y111">
        <v>1.19</v>
      </c>
      <c r="Z111">
        <v>1.65</v>
      </c>
      <c r="AA111">
        <v>1.1100000000000001</v>
      </c>
      <c r="AB111">
        <v>1.2</v>
      </c>
      <c r="AC111">
        <v>0.89</v>
      </c>
      <c r="AD111">
        <v>0.93</v>
      </c>
      <c r="AE111">
        <v>0.83</v>
      </c>
      <c r="AI111">
        <v>1.71</v>
      </c>
      <c r="AJ111">
        <v>1.33</v>
      </c>
      <c r="AK111">
        <v>0.97</v>
      </c>
      <c r="AL111">
        <v>1.38</v>
      </c>
      <c r="AM111">
        <v>1.44</v>
      </c>
      <c r="AN111">
        <v>1.28</v>
      </c>
      <c r="AO111">
        <v>2.2200000000000002</v>
      </c>
      <c r="AP111">
        <v>2</v>
      </c>
      <c r="AQ111">
        <v>1.71</v>
      </c>
      <c r="AR111">
        <v>1.39</v>
      </c>
      <c r="AS111">
        <v>1.4</v>
      </c>
      <c r="AT111">
        <v>1.81</v>
      </c>
      <c r="AX111">
        <v>1.69</v>
      </c>
      <c r="AY111">
        <v>1.71</v>
      </c>
      <c r="AZ111">
        <v>1.86</v>
      </c>
      <c r="BA111">
        <v>1.81</v>
      </c>
      <c r="BB111">
        <v>1.79</v>
      </c>
      <c r="BC111">
        <v>1.38</v>
      </c>
      <c r="BD111">
        <v>2.2799999999999998</v>
      </c>
      <c r="BE111">
        <v>2.2200000000000002</v>
      </c>
      <c r="BF111">
        <v>1.79</v>
      </c>
      <c r="BG111">
        <v>1.83</v>
      </c>
      <c r="BH111">
        <v>1.57</v>
      </c>
      <c r="BI111">
        <v>1.64</v>
      </c>
    </row>
    <row r="112" spans="1:66" x14ac:dyDescent="0.25">
      <c r="A112" s="67"/>
      <c r="B112" s="3" t="s">
        <v>166</v>
      </c>
      <c r="C112" t="s">
        <v>173</v>
      </c>
      <c r="D112">
        <v>1.29</v>
      </c>
      <c r="E112">
        <v>1.96</v>
      </c>
      <c r="F112">
        <v>2.0499999999999998</v>
      </c>
      <c r="G112">
        <v>1.74</v>
      </c>
      <c r="H112">
        <v>2.1</v>
      </c>
      <c r="I112">
        <v>1.36</v>
      </c>
      <c r="J112">
        <v>2.64</v>
      </c>
      <c r="K112">
        <v>2.58</v>
      </c>
      <c r="L112">
        <v>2.2400000000000002</v>
      </c>
      <c r="M112">
        <v>1.71</v>
      </c>
      <c r="N112">
        <v>1.66</v>
      </c>
      <c r="O112">
        <v>1.86</v>
      </c>
      <c r="P112" s="5">
        <f t="shared" si="23"/>
        <v>0.33086250920888566</v>
      </c>
      <c r="Q112" s="3">
        <f t="shared" si="24"/>
        <v>1.96</v>
      </c>
      <c r="R112" s="2">
        <f t="shared" si="25"/>
        <v>2.64</v>
      </c>
      <c r="S112" s="27">
        <f t="shared" si="26"/>
        <v>34.693877551020414</v>
      </c>
    </row>
    <row r="113" spans="1:66" x14ac:dyDescent="0.25">
      <c r="A113" s="67"/>
      <c r="B113" s="3"/>
      <c r="P113" s="31" t="s">
        <v>110</v>
      </c>
      <c r="Q113" s="29">
        <f>AVERAGE(Q104:Q112)</f>
        <v>1.4628571428571431</v>
      </c>
      <c r="R113" s="30">
        <f>AVERAGE(R107:R112)</f>
        <v>2.2916666666666665</v>
      </c>
      <c r="S113" s="29">
        <f>AVERAGE(S104:S112)</f>
        <v>67.680546732990223</v>
      </c>
    </row>
    <row r="114" spans="1:66" x14ac:dyDescent="0.25">
      <c r="A114" s="63"/>
      <c r="B114" s="3"/>
      <c r="P114" s="31" t="s">
        <v>111</v>
      </c>
      <c r="Q114" s="29">
        <f>STDEVA(Q104:Q112)</f>
        <v>0.34057374559774117</v>
      </c>
      <c r="R114" s="29">
        <f>STDEVA(R107:R112)</f>
        <v>0.45613229075199913</v>
      </c>
      <c r="S114" s="29">
        <f>STDEVA(S104:S112)</f>
        <v>51.917044622898707</v>
      </c>
    </row>
    <row r="115" spans="1:66" ht="16.5" thickBot="1" x14ac:dyDescent="0.3">
      <c r="A115" s="63"/>
      <c r="B115" s="3"/>
      <c r="P115" s="31" t="s">
        <v>112</v>
      </c>
      <c r="Q115" s="32">
        <f>Q114/Q113</f>
        <v>0.23281408390470584</v>
      </c>
      <c r="R115" s="32">
        <f>R114/R113</f>
        <v>0.19903954505541782</v>
      </c>
      <c r="S115" s="32">
        <f>S114/S113</f>
        <v>0.76708961627805894</v>
      </c>
    </row>
    <row r="116" spans="1:66" x14ac:dyDescent="0.25">
      <c r="A116" s="4"/>
      <c r="B116" s="3"/>
      <c r="N116" s="9"/>
      <c r="O116" s="8" t="s">
        <v>113</v>
      </c>
      <c r="P116" s="10">
        <v>5</v>
      </c>
      <c r="Q116" s="15" t="s">
        <v>114</v>
      </c>
      <c r="R116" s="16"/>
      <c r="S116" s="16"/>
      <c r="T116" s="16"/>
      <c r="U116" s="17"/>
      <c r="AC116" s="9"/>
      <c r="AD116" s="9"/>
      <c r="AE116" s="8" t="s">
        <v>113</v>
      </c>
      <c r="AF116" s="10">
        <v>5</v>
      </c>
      <c r="AG116" s="15" t="s">
        <v>114</v>
      </c>
      <c r="AH116" s="16"/>
      <c r="AI116" s="11"/>
      <c r="AJ116" s="12"/>
      <c r="AS116" s="9"/>
      <c r="AT116" s="8" t="s">
        <v>113</v>
      </c>
      <c r="AU116" s="10">
        <v>5</v>
      </c>
      <c r="AV116" s="15" t="s">
        <v>114</v>
      </c>
      <c r="AW116" s="16"/>
      <c r="AX116" s="11"/>
      <c r="AY116" s="12"/>
      <c r="BG116" s="9"/>
      <c r="BH116" s="9"/>
      <c r="BI116" s="8" t="s">
        <v>113</v>
      </c>
      <c r="BJ116" s="10">
        <v>5</v>
      </c>
      <c r="BK116" s="15" t="s">
        <v>114</v>
      </c>
      <c r="BL116" s="16"/>
      <c r="BM116" s="11"/>
      <c r="BN116" s="12"/>
    </row>
    <row r="117" spans="1:66" ht="16.5" thickBot="1" x14ac:dyDescent="0.3">
      <c r="A117" s="4"/>
      <c r="B117" s="3"/>
      <c r="N117" s="9"/>
      <c r="O117" s="8" t="s">
        <v>115</v>
      </c>
      <c r="P117" s="10">
        <v>7</v>
      </c>
      <c r="Q117" s="18" t="s">
        <v>114</v>
      </c>
      <c r="R117" s="13"/>
      <c r="S117" s="13"/>
      <c r="T117" s="13"/>
      <c r="U117" s="14"/>
      <c r="AC117" s="9"/>
      <c r="AD117" s="9"/>
      <c r="AE117" s="8" t="s">
        <v>115</v>
      </c>
      <c r="AF117" s="10">
        <v>10</v>
      </c>
      <c r="AG117" s="18" t="s">
        <v>114</v>
      </c>
      <c r="AH117" s="13"/>
      <c r="AI117" s="13"/>
      <c r="AJ117" s="14"/>
      <c r="AS117" s="9"/>
      <c r="AT117" s="8" t="s">
        <v>115</v>
      </c>
      <c r="AU117" s="10">
        <v>10</v>
      </c>
      <c r="AV117" s="18" t="s">
        <v>114</v>
      </c>
      <c r="AW117" s="13"/>
      <c r="AX117" s="13"/>
      <c r="AY117" s="14"/>
      <c r="BG117" s="9"/>
      <c r="BH117" s="9"/>
      <c r="BI117" s="8" t="s">
        <v>115</v>
      </c>
      <c r="BJ117" s="10">
        <v>10</v>
      </c>
      <c r="BK117" s="18" t="s">
        <v>114</v>
      </c>
      <c r="BL117" s="13"/>
      <c r="BM117" s="13"/>
      <c r="BN117" s="14"/>
    </row>
    <row r="118" spans="1:66" x14ac:dyDescent="0.25">
      <c r="A118" s="4"/>
      <c r="B118" s="3"/>
      <c r="O118" s="2" t="s">
        <v>116</v>
      </c>
      <c r="P118" s="27">
        <f>SQRT(AVERAGE(P104:P115))</f>
        <v>0.43187454319223167</v>
      </c>
      <c r="AE118" s="2" t="s">
        <v>116</v>
      </c>
      <c r="AF118" s="5" t="e">
        <f>SQRT(AVERAGE(AF104:AF115))</f>
        <v>#DIV/0!</v>
      </c>
      <c r="AT118" s="2" t="s">
        <v>116</v>
      </c>
      <c r="AU118" s="5" t="e">
        <f>SQRT(AVERAGE(AU104:AU115))</f>
        <v>#DIV/0!</v>
      </c>
      <c r="BI118" s="2" t="s">
        <v>116</v>
      </c>
      <c r="BJ118" s="5" t="e">
        <f>SQRT(AVERAGE(BJ104:BJ115))</f>
        <v>#DIV/0!</v>
      </c>
    </row>
    <row r="119" spans="1:66" x14ac:dyDescent="0.25">
      <c r="A119" s="4"/>
      <c r="B119" s="3"/>
      <c r="O119" s="2" t="s">
        <v>117</v>
      </c>
      <c r="P119" s="27">
        <f>2.77*P118</f>
        <v>1.1962924846424818</v>
      </c>
      <c r="AE119" s="2" t="s">
        <v>117</v>
      </c>
      <c r="AF119" s="5" t="e">
        <f>2.77*AF118</f>
        <v>#DIV/0!</v>
      </c>
      <c r="AT119" s="2" t="s">
        <v>117</v>
      </c>
      <c r="AU119" s="5" t="e">
        <f>2.77*AU118</f>
        <v>#DIV/0!</v>
      </c>
      <c r="BI119" s="2" t="s">
        <v>117</v>
      </c>
      <c r="BJ119" s="5" t="e">
        <f>2.77*BJ118</f>
        <v>#DIV/0!</v>
      </c>
    </row>
    <row r="120" spans="1:66" x14ac:dyDescent="0.25">
      <c r="A120" s="4"/>
      <c r="B120" s="3"/>
      <c r="O120" s="2" t="s">
        <v>118</v>
      </c>
      <c r="P120" s="27">
        <f>P119-(1.96*(P118/(SQRT(2*P117*(P116-1)))))</f>
        <v>1.0831776244138434</v>
      </c>
      <c r="AE120" s="2" t="s">
        <v>118</v>
      </c>
      <c r="AF120" s="5" t="e">
        <f>AF119-(1.96*(AF118/(SQRT(2*AF117*(AF116-1)))))</f>
        <v>#DIV/0!</v>
      </c>
      <c r="AT120" s="2" t="s">
        <v>118</v>
      </c>
      <c r="AU120" s="5" t="e">
        <f>AU119-(1.96*(AU118/(SQRT(2*AU117*(AU116-1)))))</f>
        <v>#DIV/0!</v>
      </c>
      <c r="BI120" s="2" t="s">
        <v>118</v>
      </c>
      <c r="BJ120" s="5" t="e">
        <f>BJ119-(1.96*(BJ118/(SQRT(2*BJ117*(BJ116-1)))))</f>
        <v>#DIV/0!</v>
      </c>
    </row>
    <row r="121" spans="1:66" x14ac:dyDescent="0.25">
      <c r="A121" s="4"/>
      <c r="B121" s="3"/>
      <c r="O121" s="2" t="s">
        <v>119</v>
      </c>
      <c r="P121" s="27">
        <f>P119+(1.96*(P118/(SQRT(2*P117*(P116-1)))))</f>
        <v>1.3094073448711203</v>
      </c>
      <c r="AE121" s="2" t="s">
        <v>119</v>
      </c>
      <c r="AF121" s="5" t="e">
        <f>AF119+(1.96*(AF118/(SQRT(2*AF117*(AF116-1)))))</f>
        <v>#DIV/0!</v>
      </c>
      <c r="AT121" s="2" t="s">
        <v>119</v>
      </c>
      <c r="AU121" s="5" t="e">
        <f>AU119+(1.96*(AU118/(SQRT(2*AU117*(AU116-1)))))</f>
        <v>#DIV/0!</v>
      </c>
      <c r="BI121" s="2" t="s">
        <v>119</v>
      </c>
      <c r="BJ121" s="5" t="e">
        <f>BJ119+(1.96*(BJ118/(SQRT(2*BJ117*(BJ116-1)))))</f>
        <v>#DIV/0!</v>
      </c>
    </row>
    <row r="127" spans="1:66" x14ac:dyDescent="0.25">
      <c r="B127" s="3" t="s">
        <v>166</v>
      </c>
      <c r="C127" t="s">
        <v>174</v>
      </c>
      <c r="F127">
        <v>1.48</v>
      </c>
      <c r="G127">
        <v>1.33</v>
      </c>
      <c r="H127">
        <v>1.28</v>
      </c>
      <c r="I127">
        <v>0.92</v>
      </c>
      <c r="J127">
        <v>2.29</v>
      </c>
      <c r="K127">
        <v>2.2599999999999998</v>
      </c>
      <c r="L127">
        <v>1.88</v>
      </c>
      <c r="M127">
        <v>1.24</v>
      </c>
      <c r="N127">
        <v>1.45</v>
      </c>
      <c r="O127">
        <v>1.4</v>
      </c>
      <c r="P127" s="5">
        <f t="shared" ref="P127:P128" si="27">IFERROR(STDEVA(D127:H127),#N/A)</f>
        <v>0.10408329997330661</v>
      </c>
      <c r="Q127" s="3">
        <f>MEDIAN(D127:H127)</f>
        <v>1.33</v>
      </c>
      <c r="R127" s="2">
        <f t="shared" ref="R127:R128" si="28">MAX(J127:O127)</f>
        <v>2.29</v>
      </c>
      <c r="S127" s="27">
        <f t="shared" ref="S127:S128" si="29">100*(R127-Q127)/Q127</f>
        <v>72.180451127819552</v>
      </c>
      <c r="T127">
        <v>1.41</v>
      </c>
      <c r="U127">
        <v>1.38</v>
      </c>
      <c r="V127">
        <v>1.1499999999999999</v>
      </c>
      <c r="W127">
        <v>1.28</v>
      </c>
      <c r="X127">
        <v>1.19</v>
      </c>
      <c r="Y127">
        <v>1.66</v>
      </c>
      <c r="Z127">
        <v>2.02</v>
      </c>
      <c r="AA127">
        <v>1.97</v>
      </c>
      <c r="AB127">
        <v>2.08</v>
      </c>
      <c r="AC127">
        <v>2.0299999999999998</v>
      </c>
      <c r="AD127">
        <v>1.9</v>
      </c>
      <c r="AE127">
        <v>1.94</v>
      </c>
      <c r="AI127">
        <v>1.7</v>
      </c>
      <c r="AJ127">
        <v>1.89</v>
      </c>
      <c r="AK127">
        <v>1.84</v>
      </c>
      <c r="AL127">
        <v>1.77</v>
      </c>
      <c r="AM127">
        <v>2.0699999999999998</v>
      </c>
      <c r="AN127">
        <v>1.96</v>
      </c>
      <c r="AO127">
        <v>2.02</v>
      </c>
      <c r="AP127">
        <v>2.09</v>
      </c>
      <c r="AQ127">
        <v>2.2400000000000002</v>
      </c>
      <c r="AR127">
        <v>2.36</v>
      </c>
      <c r="AS127">
        <v>2.38</v>
      </c>
      <c r="AT127">
        <v>2.27</v>
      </c>
      <c r="AX127">
        <v>1.48</v>
      </c>
      <c r="AY127">
        <v>1.47</v>
      </c>
      <c r="AZ127">
        <v>1.65</v>
      </c>
      <c r="BA127">
        <v>1.73</v>
      </c>
      <c r="BB127">
        <v>1.52</v>
      </c>
      <c r="BC127">
        <v>1.94</v>
      </c>
      <c r="BD127">
        <v>1.91</v>
      </c>
      <c r="BE127">
        <v>2.42</v>
      </c>
      <c r="BF127">
        <v>2.29</v>
      </c>
      <c r="BG127">
        <v>2.2000000000000002</v>
      </c>
      <c r="BH127">
        <v>2.11</v>
      </c>
      <c r="BI127">
        <v>2.06</v>
      </c>
    </row>
    <row r="128" spans="1:66" x14ac:dyDescent="0.25">
      <c r="B128" s="3" t="s">
        <v>166</v>
      </c>
      <c r="C128" t="s">
        <v>175</v>
      </c>
      <c r="D128">
        <v>1.79</v>
      </c>
      <c r="E128">
        <v>1.85</v>
      </c>
      <c r="F128">
        <v>2.1800000000000002</v>
      </c>
      <c r="G128">
        <v>2.21</v>
      </c>
      <c r="H128">
        <v>2.3199999999999998</v>
      </c>
      <c r="I128">
        <v>1.72</v>
      </c>
      <c r="J128">
        <v>2.73</v>
      </c>
      <c r="K128">
        <v>2.86</v>
      </c>
      <c r="L128">
        <v>2.79</v>
      </c>
      <c r="M128">
        <v>2.73</v>
      </c>
      <c r="N128">
        <v>2.62</v>
      </c>
      <c r="O128">
        <v>2.64</v>
      </c>
      <c r="P128" s="5">
        <f t="shared" si="27"/>
        <v>0.23505318547086132</v>
      </c>
      <c r="Q128" s="3">
        <f t="shared" ref="Q128" si="30">MEDIAN(D128:H128)</f>
        <v>2.1800000000000002</v>
      </c>
      <c r="R128" s="2">
        <f t="shared" si="28"/>
        <v>2.86</v>
      </c>
      <c r="S128" s="27">
        <f t="shared" si="29"/>
        <v>31.192660550458701</v>
      </c>
      <c r="T128">
        <v>1.66</v>
      </c>
      <c r="U128">
        <v>1.41</v>
      </c>
      <c r="V128">
        <v>1.58</v>
      </c>
      <c r="W128">
        <v>1.58</v>
      </c>
      <c r="X128">
        <v>1.86</v>
      </c>
      <c r="Y128">
        <v>1.43</v>
      </c>
      <c r="Z128">
        <v>1.85</v>
      </c>
      <c r="AA128">
        <v>1.97</v>
      </c>
      <c r="AB128">
        <v>2.4</v>
      </c>
      <c r="AC128">
        <v>2.37</v>
      </c>
      <c r="AD128">
        <v>2.5299999999999998</v>
      </c>
      <c r="AE128">
        <v>2.56</v>
      </c>
      <c r="AI128">
        <v>1.97</v>
      </c>
      <c r="AJ128">
        <v>2.15</v>
      </c>
      <c r="AK128">
        <v>2.1800000000000002</v>
      </c>
      <c r="AL128">
        <v>2.06</v>
      </c>
      <c r="AM128">
        <v>1.94</v>
      </c>
      <c r="AN128">
        <v>1.5</v>
      </c>
      <c r="AO128">
        <v>2.57</v>
      </c>
      <c r="AP128">
        <v>2.64</v>
      </c>
      <c r="AQ128">
        <v>2.46</v>
      </c>
      <c r="AR128">
        <v>2.2799999999999998</v>
      </c>
      <c r="AS128">
        <v>2.1800000000000002</v>
      </c>
      <c r="AT128">
        <v>2.2200000000000002</v>
      </c>
      <c r="AX128">
        <v>1.35</v>
      </c>
      <c r="AY128">
        <v>1.1399999999999999</v>
      </c>
      <c r="AZ128">
        <v>1.87</v>
      </c>
      <c r="BA128">
        <v>1.64</v>
      </c>
      <c r="BB128">
        <v>1.78</v>
      </c>
      <c r="BC128">
        <v>0.89</v>
      </c>
      <c r="BD128">
        <v>2.42</v>
      </c>
      <c r="BE128">
        <v>2.11</v>
      </c>
      <c r="BF128">
        <v>1.73</v>
      </c>
      <c r="BG128">
        <v>1.54</v>
      </c>
      <c r="BH128">
        <v>1.92</v>
      </c>
      <c r="BI128">
        <v>2.0099999999999998</v>
      </c>
    </row>
    <row r="129" spans="2:61" x14ac:dyDescent="0.25">
      <c r="B129" s="3" t="s">
        <v>166</v>
      </c>
      <c r="C129" t="s">
        <v>176</v>
      </c>
      <c r="D129">
        <v>1.48</v>
      </c>
      <c r="E129">
        <v>2.0699999999999998</v>
      </c>
      <c r="F129">
        <v>1.85</v>
      </c>
      <c r="G129">
        <v>1.9</v>
      </c>
      <c r="H129">
        <v>2.13</v>
      </c>
      <c r="I129">
        <v>2.2599999999999998</v>
      </c>
      <c r="J129">
        <v>1.86</v>
      </c>
      <c r="K129">
        <v>2.15</v>
      </c>
      <c r="L129">
        <v>1.77</v>
      </c>
      <c r="M129">
        <v>2.0699999999999998</v>
      </c>
      <c r="N129">
        <v>2.23</v>
      </c>
      <c r="O129">
        <v>2.02</v>
      </c>
      <c r="P129" s="5">
        <f>IFERROR(STDEVA(D129:H129),#N/A)</f>
        <v>0.25481365740477957</v>
      </c>
      <c r="Q129" s="3">
        <f>MEDIAN(D129:H129)</f>
        <v>1.9</v>
      </c>
      <c r="R129" s="2">
        <f>MAX(J129:O129)</f>
        <v>2.23</v>
      </c>
      <c r="S129" s="27">
        <f>100*(R129-Q129)/Q129</f>
        <v>17.368421052631582</v>
      </c>
      <c r="T129">
        <v>1.27</v>
      </c>
      <c r="U129">
        <v>1.37</v>
      </c>
      <c r="V129">
        <v>1.41</v>
      </c>
      <c r="W129">
        <v>2.1</v>
      </c>
      <c r="X129">
        <v>1.74</v>
      </c>
      <c r="Y129">
        <v>2.0299999999999998</v>
      </c>
      <c r="Z129">
        <v>1.89</v>
      </c>
      <c r="AA129">
        <v>2.6</v>
      </c>
      <c r="AB129">
        <v>2.37</v>
      </c>
      <c r="AC129">
        <v>2.23</v>
      </c>
      <c r="AD129">
        <v>2.2200000000000002</v>
      </c>
      <c r="AE129">
        <v>2.1</v>
      </c>
      <c r="AI129">
        <v>2.2200000000000002</v>
      </c>
      <c r="AJ129">
        <v>2.11</v>
      </c>
      <c r="AK129">
        <v>2.2799999999999998</v>
      </c>
      <c r="AL129">
        <v>2.23</v>
      </c>
      <c r="AM129">
        <v>2.37</v>
      </c>
      <c r="AN129">
        <v>1.28</v>
      </c>
      <c r="AO129">
        <v>2.71</v>
      </c>
      <c r="AP129">
        <v>2.7</v>
      </c>
      <c r="AQ129">
        <v>2.64</v>
      </c>
      <c r="AR129">
        <v>2.57</v>
      </c>
      <c r="AS129">
        <v>2.46</v>
      </c>
      <c r="AT129">
        <v>2.42</v>
      </c>
      <c r="AX129">
        <v>2.0099999999999998</v>
      </c>
      <c r="AY129">
        <v>2.17</v>
      </c>
      <c r="AZ129">
        <v>2.4700000000000002</v>
      </c>
      <c r="BA129">
        <v>2.54</v>
      </c>
      <c r="BB129">
        <v>2.4900000000000002</v>
      </c>
      <c r="BC129">
        <v>1.77</v>
      </c>
      <c r="BD129">
        <v>2.75</v>
      </c>
      <c r="BE129">
        <v>2.64</v>
      </c>
      <c r="BF129">
        <v>2.5099999999999998</v>
      </c>
      <c r="BG129">
        <v>2.54</v>
      </c>
      <c r="BH129">
        <v>2.48</v>
      </c>
      <c r="BI129">
        <v>2.5</v>
      </c>
    </row>
    <row r="130" spans="2:61" x14ac:dyDescent="0.25">
      <c r="B130" s="3" t="s">
        <v>166</v>
      </c>
      <c r="C130" t="s">
        <v>177</v>
      </c>
      <c r="D130">
        <v>1.65</v>
      </c>
      <c r="E130">
        <v>1.67</v>
      </c>
      <c r="F130">
        <v>1.92</v>
      </c>
      <c r="G130">
        <v>1.89</v>
      </c>
      <c r="H130">
        <v>1.9</v>
      </c>
      <c r="I130">
        <v>1.26</v>
      </c>
      <c r="J130">
        <v>2.5299999999999998</v>
      </c>
      <c r="K130">
        <v>2.4500000000000002</v>
      </c>
      <c r="L130">
        <v>2.37</v>
      </c>
      <c r="M130">
        <v>2.2200000000000002</v>
      </c>
      <c r="N130">
        <v>1.79</v>
      </c>
      <c r="O130">
        <v>2</v>
      </c>
      <c r="P130" s="5">
        <f>IFERROR(STDEVA(D130:H130),#N/A)</f>
        <v>0.13390294993016394</v>
      </c>
      <c r="Q130" s="3">
        <f>MEDIAN(D130:H130)</f>
        <v>1.89</v>
      </c>
      <c r="R130" s="2">
        <f>MAX(J130:O130)</f>
        <v>2.5299999999999998</v>
      </c>
      <c r="S130" s="27">
        <f>100*(R130-Q130)/Q130</f>
        <v>33.862433862433861</v>
      </c>
    </row>
    <row r="131" spans="2:61" x14ac:dyDescent="0.25">
      <c r="B131" s="3" t="s">
        <v>166</v>
      </c>
      <c r="C131" t="s">
        <v>178</v>
      </c>
      <c r="D131">
        <v>1.59</v>
      </c>
      <c r="E131">
        <v>1.58</v>
      </c>
      <c r="F131">
        <v>1.58</v>
      </c>
      <c r="G131">
        <v>1.4</v>
      </c>
      <c r="H131">
        <v>1.71</v>
      </c>
      <c r="I131">
        <v>1.28</v>
      </c>
      <c r="J131">
        <v>2.67</v>
      </c>
      <c r="K131">
        <v>2.37</v>
      </c>
      <c r="L131">
        <v>2.25</v>
      </c>
      <c r="M131">
        <v>2.13</v>
      </c>
      <c r="N131">
        <v>1.94</v>
      </c>
      <c r="O131">
        <v>2.1</v>
      </c>
      <c r="P131" s="5">
        <f>IFERROR(STDEVA(D131:H131),#N/A)</f>
        <v>0.11077003204838394</v>
      </c>
      <c r="Q131" s="3">
        <f>MEDIAN(D131:H131)</f>
        <v>1.58</v>
      </c>
      <c r="R131" s="2">
        <f>MAX(J131:O131)</f>
        <v>2.67</v>
      </c>
      <c r="S131" s="27">
        <f>100*(R131-Q131)/Q131</f>
        <v>68.987341772151893</v>
      </c>
      <c r="T131">
        <v>1.65</v>
      </c>
      <c r="U131">
        <v>1.81</v>
      </c>
      <c r="V131">
        <v>1.99</v>
      </c>
      <c r="W131">
        <v>1.79</v>
      </c>
      <c r="X131">
        <v>1.86</v>
      </c>
      <c r="Y131">
        <v>0.97</v>
      </c>
      <c r="Z131">
        <v>2.59</v>
      </c>
      <c r="AA131">
        <v>2.42</v>
      </c>
      <c r="AB131">
        <v>2.36</v>
      </c>
      <c r="AC131">
        <v>2.1</v>
      </c>
      <c r="AD131">
        <v>2.1</v>
      </c>
      <c r="AE131">
        <v>2.0299999999999998</v>
      </c>
      <c r="AI131">
        <v>1.83</v>
      </c>
      <c r="AJ131">
        <v>1.73</v>
      </c>
      <c r="AK131">
        <v>2.06</v>
      </c>
      <c r="AL131">
        <v>1.68</v>
      </c>
      <c r="AM131">
        <v>2.0299999999999998</v>
      </c>
      <c r="AN131">
        <v>1.54</v>
      </c>
      <c r="AO131">
        <v>2.57</v>
      </c>
      <c r="AP131">
        <v>2.52</v>
      </c>
      <c r="AQ131">
        <v>2.12</v>
      </c>
      <c r="AR131">
        <v>2.11</v>
      </c>
      <c r="AS131">
        <v>2.2599999999999998</v>
      </c>
      <c r="AT131">
        <v>2.35</v>
      </c>
      <c r="AX131">
        <v>2.12</v>
      </c>
      <c r="AY131">
        <v>1.95</v>
      </c>
      <c r="AZ131">
        <v>2.0499999999999998</v>
      </c>
      <c r="BA131">
        <v>2.25</v>
      </c>
      <c r="BB131">
        <v>1.91</v>
      </c>
      <c r="BC131">
        <v>1.43</v>
      </c>
      <c r="BD131">
        <v>2.36</v>
      </c>
      <c r="BE131">
        <v>2.4</v>
      </c>
      <c r="BF131">
        <v>2.46</v>
      </c>
      <c r="BG131">
        <v>2.41</v>
      </c>
      <c r="BH131">
        <v>2.4</v>
      </c>
      <c r="BI131">
        <v>2.29</v>
      </c>
    </row>
  </sheetData>
  <mergeCells count="22">
    <mergeCell ref="AU1:AU2"/>
    <mergeCell ref="A104:A113"/>
    <mergeCell ref="AX1:BI1"/>
    <mergeCell ref="BJ1:BJ2"/>
    <mergeCell ref="D2:H2"/>
    <mergeCell ref="J2:O2"/>
    <mergeCell ref="T2:X2"/>
    <mergeCell ref="Z2:AE2"/>
    <mergeCell ref="AI2:AM2"/>
    <mergeCell ref="AO2:AT2"/>
    <mergeCell ref="AX2:BB2"/>
    <mergeCell ref="BD2:BI2"/>
    <mergeCell ref="D1:O1"/>
    <mergeCell ref="P1:P2"/>
    <mergeCell ref="T1:AE1"/>
    <mergeCell ref="AF1:AF2"/>
    <mergeCell ref="A81:A92"/>
    <mergeCell ref="AI1:AT1"/>
    <mergeCell ref="A4:A15"/>
    <mergeCell ref="A23:A32"/>
    <mergeCell ref="A40:A53"/>
    <mergeCell ref="A61:A7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4D7D-526F-0547-80E3-57BB2EF27E5D}">
  <dimension ref="A1:BN129"/>
  <sheetViews>
    <sheetView topLeftCell="C97" workbookViewId="0">
      <pane xSplit="1" topLeftCell="N1" activePane="topRight" state="frozen"/>
      <selection activeCell="C1" sqref="C1"/>
      <selection pane="topRight" activeCell="Q129" sqref="Q129:S129"/>
    </sheetView>
  </sheetViews>
  <sheetFormatPr defaultColWidth="11.125" defaultRowHeight="15.75" x14ac:dyDescent="0.25"/>
  <cols>
    <col min="2" max="2" width="13.5" bestFit="1" customWidth="1"/>
    <col min="3" max="3" width="12.125" bestFit="1" customWidth="1"/>
    <col min="15" max="15" width="17.125" bestFit="1" customWidth="1"/>
    <col min="16" max="16" width="16.125" customWidth="1"/>
    <col min="32" max="32" width="16.125" customWidth="1"/>
    <col min="47" max="47" width="16.125" customWidth="1"/>
    <col min="62" max="62" width="16.125" customWidth="1"/>
  </cols>
  <sheetData>
    <row r="1" spans="1:66" x14ac:dyDescent="0.25">
      <c r="D1" s="69" t="s">
        <v>74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6" t="s">
        <v>75</v>
      </c>
      <c r="Q1" s="6"/>
      <c r="R1" s="6"/>
      <c r="S1" s="6"/>
      <c r="T1" s="70" t="s">
        <v>76</v>
      </c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66" t="s">
        <v>75</v>
      </c>
      <c r="AG1" s="6"/>
      <c r="AH1" s="6"/>
      <c r="AI1" s="69" t="s">
        <v>77</v>
      </c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6" t="s">
        <v>75</v>
      </c>
      <c r="AV1" s="6"/>
      <c r="AW1" s="6"/>
      <c r="AX1" s="70" t="s">
        <v>78</v>
      </c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66" t="s">
        <v>75</v>
      </c>
      <c r="BK1" s="6"/>
      <c r="BL1" s="6"/>
    </row>
    <row r="2" spans="1:66" s="19" customFormat="1" ht="60" customHeight="1" x14ac:dyDescent="0.25">
      <c r="D2" s="71" t="s">
        <v>79</v>
      </c>
      <c r="E2" s="71"/>
      <c r="F2" s="71"/>
      <c r="G2" s="71"/>
      <c r="H2" s="71"/>
      <c r="I2" s="7" t="s">
        <v>80</v>
      </c>
      <c r="J2" s="72" t="s">
        <v>81</v>
      </c>
      <c r="K2" s="72"/>
      <c r="L2" s="72"/>
      <c r="M2" s="72"/>
      <c r="N2" s="72"/>
      <c r="O2" s="72"/>
      <c r="P2" s="66"/>
      <c r="Q2" s="20" t="s">
        <v>82</v>
      </c>
      <c r="R2" s="20" t="s">
        <v>179</v>
      </c>
      <c r="S2" s="20" t="s">
        <v>84</v>
      </c>
      <c r="T2" s="71" t="s">
        <v>79</v>
      </c>
      <c r="U2" s="71"/>
      <c r="V2" s="71"/>
      <c r="W2" s="71"/>
      <c r="X2" s="71"/>
      <c r="Y2" s="7" t="s">
        <v>80</v>
      </c>
      <c r="Z2" s="72" t="s">
        <v>81</v>
      </c>
      <c r="AA2" s="72"/>
      <c r="AB2" s="72"/>
      <c r="AC2" s="72"/>
      <c r="AD2" s="72"/>
      <c r="AE2" s="72"/>
      <c r="AF2" s="66"/>
      <c r="AG2" s="20"/>
      <c r="AH2" s="20"/>
      <c r="AI2" s="71" t="s">
        <v>79</v>
      </c>
      <c r="AJ2" s="71"/>
      <c r="AK2" s="71"/>
      <c r="AL2" s="71"/>
      <c r="AM2" s="71"/>
      <c r="AN2" s="7" t="s">
        <v>80</v>
      </c>
      <c r="AO2" s="72" t="s">
        <v>81</v>
      </c>
      <c r="AP2" s="72"/>
      <c r="AQ2" s="72"/>
      <c r="AR2" s="72"/>
      <c r="AS2" s="72"/>
      <c r="AT2" s="72"/>
      <c r="AU2" s="66"/>
      <c r="AV2" s="20"/>
      <c r="AW2" s="20"/>
      <c r="AX2" s="71" t="s">
        <v>79</v>
      </c>
      <c r="AY2" s="71"/>
      <c r="AZ2" s="71"/>
      <c r="BA2" s="71"/>
      <c r="BB2" s="71"/>
      <c r="BC2" s="7" t="s">
        <v>80</v>
      </c>
      <c r="BD2" s="72" t="s">
        <v>81</v>
      </c>
      <c r="BE2" s="72"/>
      <c r="BF2" s="72"/>
      <c r="BG2" s="72"/>
      <c r="BH2" s="72"/>
      <c r="BI2" s="72"/>
      <c r="BJ2" s="66"/>
      <c r="BK2" s="20"/>
      <c r="BL2" s="20"/>
    </row>
    <row r="3" spans="1:66" x14ac:dyDescent="0.25">
      <c r="A3" s="1" t="s">
        <v>85</v>
      </c>
      <c r="B3" s="1" t="s">
        <v>86</v>
      </c>
      <c r="C3" s="1" t="s">
        <v>0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  <c r="M3" s="2" t="s">
        <v>96</v>
      </c>
      <c r="N3" s="2" t="s">
        <v>97</v>
      </c>
      <c r="O3" s="2" t="s">
        <v>98</v>
      </c>
      <c r="P3" s="2" t="s">
        <v>99</v>
      </c>
      <c r="Q3" s="2"/>
      <c r="R3" s="2"/>
      <c r="S3" s="2"/>
      <c r="T3" s="2" t="s">
        <v>87</v>
      </c>
      <c r="U3" s="2" t="s">
        <v>88</v>
      </c>
      <c r="V3" s="2" t="s">
        <v>89</v>
      </c>
      <c r="W3" s="2" t="s">
        <v>90</v>
      </c>
      <c r="X3" s="2" t="s">
        <v>91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/>
      <c r="AH3" s="2"/>
      <c r="AI3" s="2" t="s">
        <v>87</v>
      </c>
      <c r="AJ3" s="2" t="s">
        <v>88</v>
      </c>
      <c r="AK3" s="2" t="s">
        <v>89</v>
      </c>
      <c r="AL3" s="2" t="s">
        <v>90</v>
      </c>
      <c r="AM3" s="2" t="s">
        <v>91</v>
      </c>
      <c r="AN3" s="2" t="s">
        <v>92</v>
      </c>
      <c r="AO3" s="2" t="s">
        <v>93</v>
      </c>
      <c r="AP3" s="2" t="s">
        <v>94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99</v>
      </c>
      <c r="AV3" s="2"/>
      <c r="AW3" s="2"/>
      <c r="AX3" s="2" t="s">
        <v>87</v>
      </c>
      <c r="AY3" s="2" t="s">
        <v>88</v>
      </c>
      <c r="AZ3" s="2" t="s">
        <v>89</v>
      </c>
      <c r="BA3" s="2" t="s">
        <v>90</v>
      </c>
      <c r="BB3" s="2" t="s">
        <v>91</v>
      </c>
      <c r="BC3" s="2" t="s">
        <v>92</v>
      </c>
      <c r="BD3" s="2" t="s">
        <v>93</v>
      </c>
      <c r="BE3" s="2" t="s">
        <v>94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99</v>
      </c>
      <c r="BK3" s="2"/>
      <c r="BL3" s="2"/>
    </row>
    <row r="4" spans="1:66" x14ac:dyDescent="0.25">
      <c r="A4" s="68"/>
      <c r="B4" s="3" t="s">
        <v>100</v>
      </c>
      <c r="C4" s="21" t="s">
        <v>101</v>
      </c>
      <c r="D4">
        <v>1.33</v>
      </c>
      <c r="E4">
        <v>1.61</v>
      </c>
      <c r="F4">
        <v>1.47</v>
      </c>
      <c r="G4">
        <v>1.42</v>
      </c>
      <c r="H4">
        <v>1.35</v>
      </c>
      <c r="I4">
        <v>0.89</v>
      </c>
      <c r="J4">
        <v>2.4500000000000002</v>
      </c>
      <c r="K4">
        <v>1.9</v>
      </c>
      <c r="L4">
        <v>1.99</v>
      </c>
      <c r="M4">
        <v>2.04</v>
      </c>
      <c r="P4" s="5">
        <f t="shared" ref="P4:P12" si="0">IFERROR(STDEVA(D4:H4),#N/A)</f>
        <v>0.11216059914247963</v>
      </c>
      <c r="Q4">
        <f>MEDIAN(D4:H4)</f>
        <v>1.42</v>
      </c>
      <c r="R4" s="2">
        <f>MAX(J4:O4)</f>
        <v>2.4500000000000002</v>
      </c>
      <c r="S4" s="27">
        <f t="shared" ref="S4:S12" si="1">100*(R4-Q4)/Q4</f>
        <v>72.535211267605661</v>
      </c>
      <c r="AF4" s="5" t="e">
        <f t="shared" ref="AF4:AF15" si="2">IFERROR(STDEVA(T4:X4),#N/A)</f>
        <v>#N/A</v>
      </c>
      <c r="AU4" s="5" t="e">
        <f t="shared" ref="AU4:AU13" si="3">IFERROR(STDEVA(AI4:AM4),#N/A)</f>
        <v>#N/A</v>
      </c>
      <c r="BJ4" s="5" t="e">
        <f t="shared" ref="BJ4:BJ13" si="4">IFERROR(STDEVA(AX4:BB4),#N/A)</f>
        <v>#N/A</v>
      </c>
    </row>
    <row r="5" spans="1:66" x14ac:dyDescent="0.25">
      <c r="A5" s="68"/>
      <c r="B5" s="3" t="s">
        <v>100</v>
      </c>
      <c r="C5" s="21" t="s">
        <v>102</v>
      </c>
      <c r="D5">
        <v>2.23</v>
      </c>
      <c r="E5">
        <v>2.46</v>
      </c>
      <c r="F5">
        <v>2.82</v>
      </c>
      <c r="G5">
        <v>2.9</v>
      </c>
      <c r="H5">
        <v>2.9</v>
      </c>
      <c r="I5">
        <v>1.06</v>
      </c>
      <c r="J5">
        <v>3.56</v>
      </c>
      <c r="K5">
        <v>3.31</v>
      </c>
      <c r="L5">
        <v>3.6</v>
      </c>
      <c r="M5">
        <v>3.23</v>
      </c>
      <c r="P5" s="5">
        <f t="shared" si="0"/>
        <v>0.30235740440743203</v>
      </c>
      <c r="Q5">
        <f t="shared" ref="Q5:Q12" si="5">MEDIAN(D5:H5)</f>
        <v>2.82</v>
      </c>
      <c r="R5" s="2">
        <f t="shared" ref="R5:R12" si="6">MAX(J5:O5)</f>
        <v>3.6</v>
      </c>
      <c r="S5" s="27">
        <f t="shared" si="1"/>
        <v>27.659574468085118</v>
      </c>
      <c r="AF5" s="5" t="e">
        <f t="shared" si="2"/>
        <v>#N/A</v>
      </c>
      <c r="AU5" s="5" t="e">
        <f t="shared" si="3"/>
        <v>#N/A</v>
      </c>
      <c r="BJ5" s="5" t="e">
        <f t="shared" si="4"/>
        <v>#N/A</v>
      </c>
    </row>
    <row r="6" spans="1:66" x14ac:dyDescent="0.25">
      <c r="A6" s="68"/>
      <c r="B6" s="3" t="s">
        <v>100</v>
      </c>
      <c r="C6" s="21" t="s">
        <v>103</v>
      </c>
      <c r="D6">
        <v>2.63</v>
      </c>
      <c r="E6">
        <v>2.71</v>
      </c>
      <c r="F6">
        <v>2.75</v>
      </c>
      <c r="G6">
        <v>2.68</v>
      </c>
      <c r="H6">
        <v>2.66</v>
      </c>
      <c r="I6">
        <v>0.95</v>
      </c>
      <c r="J6">
        <v>3.79</v>
      </c>
      <c r="K6">
        <v>4.2300000000000004</v>
      </c>
      <c r="L6">
        <v>3.83</v>
      </c>
      <c r="M6">
        <v>3.52</v>
      </c>
      <c r="P6" s="5">
        <f t="shared" si="0"/>
        <v>4.6151923036857306E-2</v>
      </c>
      <c r="Q6">
        <f t="shared" si="5"/>
        <v>2.68</v>
      </c>
      <c r="R6" s="2">
        <f t="shared" si="6"/>
        <v>4.2300000000000004</v>
      </c>
      <c r="S6" s="27">
        <f t="shared" si="1"/>
        <v>57.835820895522396</v>
      </c>
      <c r="AF6" s="5" t="e">
        <f t="shared" si="2"/>
        <v>#N/A</v>
      </c>
      <c r="AU6" s="5" t="e">
        <f t="shared" si="3"/>
        <v>#N/A</v>
      </c>
      <c r="BJ6" s="5" t="e">
        <f t="shared" si="4"/>
        <v>#N/A</v>
      </c>
    </row>
    <row r="7" spans="1:66" x14ac:dyDescent="0.25">
      <c r="A7" s="68"/>
      <c r="B7" s="3" t="s">
        <v>100</v>
      </c>
      <c r="C7" s="21" t="s">
        <v>104</v>
      </c>
      <c r="D7">
        <v>1.66</v>
      </c>
      <c r="E7">
        <v>1.85</v>
      </c>
      <c r="F7">
        <v>2.0099999999999998</v>
      </c>
      <c r="G7">
        <v>1.94</v>
      </c>
      <c r="H7">
        <v>2.0699999999999998</v>
      </c>
      <c r="I7">
        <v>0.68</v>
      </c>
      <c r="J7">
        <v>3.44</v>
      </c>
      <c r="K7">
        <v>3.05</v>
      </c>
      <c r="L7">
        <v>2.58</v>
      </c>
      <c r="M7">
        <v>2.93</v>
      </c>
      <c r="P7" s="5">
        <f t="shared" si="0"/>
        <v>0.16009372255026111</v>
      </c>
      <c r="Q7">
        <f t="shared" si="5"/>
        <v>1.94</v>
      </c>
      <c r="R7" s="2">
        <f t="shared" si="6"/>
        <v>3.44</v>
      </c>
      <c r="S7" s="27">
        <f t="shared" si="1"/>
        <v>77.319587628865975</v>
      </c>
      <c r="AF7" s="5" t="e">
        <f t="shared" si="2"/>
        <v>#N/A</v>
      </c>
      <c r="AU7" s="5" t="e">
        <f t="shared" si="3"/>
        <v>#N/A</v>
      </c>
      <c r="BJ7" s="5" t="e">
        <f t="shared" si="4"/>
        <v>#N/A</v>
      </c>
    </row>
    <row r="8" spans="1:66" x14ac:dyDescent="0.25">
      <c r="A8" s="68"/>
      <c r="B8" s="3" t="s">
        <v>100</v>
      </c>
      <c r="C8" s="21" t="s">
        <v>105</v>
      </c>
      <c r="D8">
        <v>1.4</v>
      </c>
      <c r="E8">
        <v>1.82</v>
      </c>
      <c r="F8">
        <v>2.0499999999999998</v>
      </c>
      <c r="G8">
        <v>2.09</v>
      </c>
      <c r="H8">
        <v>1.7</v>
      </c>
      <c r="I8">
        <v>1.19</v>
      </c>
      <c r="J8">
        <v>4.72</v>
      </c>
      <c r="K8">
        <v>3.74</v>
      </c>
      <c r="L8">
        <v>3.3</v>
      </c>
      <c r="M8">
        <v>2.85</v>
      </c>
      <c r="P8" s="5">
        <f t="shared" si="0"/>
        <v>0.28119388329051814</v>
      </c>
      <c r="Q8">
        <f t="shared" si="5"/>
        <v>1.82</v>
      </c>
      <c r="R8" s="2">
        <f t="shared" si="6"/>
        <v>4.72</v>
      </c>
      <c r="S8" s="27">
        <f t="shared" si="1"/>
        <v>159.3406593406593</v>
      </c>
      <c r="AF8" s="5" t="e">
        <f t="shared" si="2"/>
        <v>#N/A</v>
      </c>
      <c r="AU8" s="5" t="e">
        <f t="shared" si="3"/>
        <v>#N/A</v>
      </c>
      <c r="BJ8" s="5" t="e">
        <f>IFERROR(STDEVA(AX8:BB8),#N/A)</f>
        <v>#N/A</v>
      </c>
    </row>
    <row r="9" spans="1:66" x14ac:dyDescent="0.25">
      <c r="A9" s="68"/>
      <c r="B9" s="3" t="s">
        <v>100</v>
      </c>
      <c r="C9" s="21" t="s">
        <v>106</v>
      </c>
      <c r="D9">
        <v>1.73</v>
      </c>
      <c r="E9">
        <v>1.98</v>
      </c>
      <c r="F9">
        <v>1.67</v>
      </c>
      <c r="G9">
        <v>1.82</v>
      </c>
      <c r="H9">
        <v>1.65</v>
      </c>
      <c r="I9">
        <v>1.1399999999999999</v>
      </c>
      <c r="J9">
        <v>3.23</v>
      </c>
      <c r="K9">
        <v>2.15</v>
      </c>
      <c r="L9">
        <v>1.6</v>
      </c>
      <c r="M9">
        <v>1.75</v>
      </c>
      <c r="P9" s="5">
        <f t="shared" si="0"/>
        <v>0.13472193585307482</v>
      </c>
      <c r="Q9">
        <f t="shared" si="5"/>
        <v>1.73</v>
      </c>
      <c r="R9" s="2">
        <f t="shared" si="6"/>
        <v>3.23</v>
      </c>
      <c r="S9" s="27">
        <f t="shared" si="1"/>
        <v>86.705202312138724</v>
      </c>
      <c r="AF9" s="5" t="e">
        <f t="shared" si="2"/>
        <v>#N/A</v>
      </c>
      <c r="AU9" s="5" t="e">
        <f t="shared" si="3"/>
        <v>#N/A</v>
      </c>
      <c r="BJ9" s="5" t="e">
        <f t="shared" si="4"/>
        <v>#N/A</v>
      </c>
    </row>
    <row r="10" spans="1:66" x14ac:dyDescent="0.25">
      <c r="A10" s="68"/>
      <c r="B10" s="3" t="s">
        <v>100</v>
      </c>
      <c r="C10" s="21" t="s">
        <v>107</v>
      </c>
      <c r="D10">
        <v>1.24</v>
      </c>
      <c r="E10">
        <v>1.83</v>
      </c>
      <c r="F10">
        <v>1.2</v>
      </c>
      <c r="G10">
        <v>1.37</v>
      </c>
      <c r="H10">
        <v>1.1299999999999999</v>
      </c>
      <c r="I10">
        <v>1.5</v>
      </c>
      <c r="J10">
        <v>2.78</v>
      </c>
      <c r="K10">
        <v>3.17</v>
      </c>
      <c r="L10">
        <v>2.68</v>
      </c>
      <c r="M10">
        <v>1.89</v>
      </c>
      <c r="P10" s="5">
        <f t="shared" si="0"/>
        <v>0.28005356630473394</v>
      </c>
      <c r="Q10">
        <f t="shared" si="5"/>
        <v>1.24</v>
      </c>
      <c r="R10" s="2">
        <f t="shared" si="6"/>
        <v>3.17</v>
      </c>
      <c r="S10" s="27">
        <f t="shared" si="1"/>
        <v>155.64516129032259</v>
      </c>
      <c r="AF10" s="5" t="e">
        <f t="shared" si="2"/>
        <v>#N/A</v>
      </c>
      <c r="AU10" s="5" t="e">
        <f t="shared" si="3"/>
        <v>#N/A</v>
      </c>
      <c r="BJ10" s="5" t="e">
        <f t="shared" si="4"/>
        <v>#N/A</v>
      </c>
    </row>
    <row r="11" spans="1:66" x14ac:dyDescent="0.25">
      <c r="A11" s="68"/>
      <c r="B11" s="3" t="s">
        <v>100</v>
      </c>
      <c r="C11" s="21" t="s">
        <v>108</v>
      </c>
      <c r="D11">
        <v>1.05</v>
      </c>
      <c r="E11">
        <v>1.57</v>
      </c>
      <c r="F11">
        <v>3.15</v>
      </c>
      <c r="G11">
        <v>3.52</v>
      </c>
      <c r="H11">
        <v>2.78</v>
      </c>
      <c r="I11">
        <v>0.72</v>
      </c>
      <c r="J11">
        <v>4.1500000000000004</v>
      </c>
      <c r="K11">
        <v>4.87</v>
      </c>
      <c r="L11">
        <v>4.53</v>
      </c>
      <c r="M11">
        <v>4.5599999999999996</v>
      </c>
      <c r="P11" s="5">
        <f t="shared" si="0"/>
        <v>1.0573220890532842</v>
      </c>
      <c r="Q11">
        <f t="shared" si="5"/>
        <v>2.78</v>
      </c>
      <c r="R11" s="2">
        <f t="shared" si="6"/>
        <v>4.87</v>
      </c>
      <c r="S11" s="27">
        <f t="shared" si="1"/>
        <v>75.179856115107924</v>
      </c>
      <c r="AF11" s="5" t="e">
        <f t="shared" si="2"/>
        <v>#N/A</v>
      </c>
      <c r="AU11" s="5" t="e">
        <f t="shared" si="3"/>
        <v>#N/A</v>
      </c>
      <c r="BJ11" s="5" t="e">
        <f t="shared" si="4"/>
        <v>#N/A</v>
      </c>
    </row>
    <row r="12" spans="1:66" x14ac:dyDescent="0.25">
      <c r="A12" s="68"/>
      <c r="B12" s="3" t="s">
        <v>100</v>
      </c>
      <c r="C12" s="21" t="s">
        <v>109</v>
      </c>
      <c r="D12">
        <v>2.52</v>
      </c>
      <c r="E12">
        <v>2.82</v>
      </c>
      <c r="F12">
        <v>2.85</v>
      </c>
      <c r="G12">
        <v>2.67</v>
      </c>
      <c r="H12">
        <v>2.46</v>
      </c>
      <c r="I12">
        <v>1.75</v>
      </c>
      <c r="J12">
        <v>2.94</v>
      </c>
      <c r="K12">
        <v>3.44</v>
      </c>
      <c r="L12">
        <v>2.92</v>
      </c>
      <c r="M12">
        <v>3.5</v>
      </c>
      <c r="N12">
        <v>2.78</v>
      </c>
      <c r="O12">
        <v>2.2799999999999998</v>
      </c>
      <c r="P12" s="5">
        <f t="shared" si="0"/>
        <v>0.17415510328439993</v>
      </c>
      <c r="Q12">
        <f t="shared" si="5"/>
        <v>2.67</v>
      </c>
      <c r="R12" s="2">
        <f t="shared" si="6"/>
        <v>3.5</v>
      </c>
      <c r="S12" s="27">
        <f t="shared" si="1"/>
        <v>31.08614232209738</v>
      </c>
      <c r="AF12" s="5" t="e">
        <f t="shared" si="2"/>
        <v>#N/A</v>
      </c>
      <c r="AU12" s="5" t="e">
        <f t="shared" si="3"/>
        <v>#N/A</v>
      </c>
      <c r="BJ12" s="5" t="e">
        <f t="shared" si="4"/>
        <v>#N/A</v>
      </c>
    </row>
    <row r="13" spans="1:66" x14ac:dyDescent="0.25">
      <c r="A13" s="68"/>
      <c r="B13" s="3"/>
      <c r="P13" s="31" t="s">
        <v>110</v>
      </c>
      <c r="Q13" s="30">
        <f>AVERAGE(Q4:Q12)</f>
        <v>2.1222222222222222</v>
      </c>
      <c r="R13" s="30">
        <f>AVERAGE(R4:R12)</f>
        <v>3.6900000000000008</v>
      </c>
      <c r="S13" s="29">
        <f>AVERAGE(S4:S12)</f>
        <v>82.589690626711686</v>
      </c>
      <c r="AF13" s="5" t="e">
        <f t="shared" si="2"/>
        <v>#N/A</v>
      </c>
      <c r="AU13" s="5" t="e">
        <f t="shared" si="3"/>
        <v>#N/A</v>
      </c>
      <c r="BJ13" s="5" t="e">
        <f t="shared" si="4"/>
        <v>#N/A</v>
      </c>
    </row>
    <row r="14" spans="1:66" x14ac:dyDescent="0.25">
      <c r="A14" s="68"/>
      <c r="B14" s="3"/>
      <c r="P14" s="31" t="s">
        <v>111</v>
      </c>
      <c r="Q14" s="29">
        <f>STDEVA(Q4:Q12)</f>
        <v>0.62053963970438153</v>
      </c>
      <c r="R14" s="29">
        <f>STDEVA(R4:R12)</f>
        <v>0.78032044699597281</v>
      </c>
      <c r="S14" s="29">
        <f>STDEVA(S4:S12)</f>
        <v>47.052111845482749</v>
      </c>
      <c r="AF14" s="5" t="e">
        <f t="shared" si="2"/>
        <v>#N/A</v>
      </c>
      <c r="AU14" s="5" t="e">
        <f>IFERROR(STDEVA(AI14:AM14),#N/A)</f>
        <v>#N/A</v>
      </c>
      <c r="BJ14" s="5" t="e">
        <f>IFERROR(STDEVA(AX14:BB14),#N/A)</f>
        <v>#N/A</v>
      </c>
    </row>
    <row r="15" spans="1:66" ht="16.5" thickBot="1" x14ac:dyDescent="0.3">
      <c r="A15" s="68"/>
      <c r="B15" s="3"/>
      <c r="P15" s="31" t="s">
        <v>112</v>
      </c>
      <c r="Q15" s="32">
        <f>Q14/Q13</f>
        <v>0.29240087734761433</v>
      </c>
      <c r="R15" s="32">
        <f>R14/R13</f>
        <v>0.21146895582546685</v>
      </c>
      <c r="S15" s="32">
        <f>S14/S13</f>
        <v>0.5697092638129444</v>
      </c>
      <c r="AF15" s="5" t="e">
        <f t="shared" si="2"/>
        <v>#N/A</v>
      </c>
      <c r="AU15" s="5" t="e">
        <f>IFERROR(STDEVA(AI15:AM15),#N/A)</f>
        <v>#N/A</v>
      </c>
      <c r="BJ15" s="5" t="e">
        <f>IFERROR(STDEVA(AX15:BB15),#N/A)</f>
        <v>#N/A</v>
      </c>
    </row>
    <row r="16" spans="1:66" x14ac:dyDescent="0.25">
      <c r="A16" s="4"/>
      <c r="B16" s="3"/>
      <c r="N16" s="9"/>
      <c r="O16" s="8" t="s">
        <v>113</v>
      </c>
      <c r="P16" s="10">
        <v>5</v>
      </c>
      <c r="Q16" s="15" t="s">
        <v>114</v>
      </c>
      <c r="R16" s="16"/>
      <c r="S16" s="16"/>
      <c r="T16" s="16"/>
      <c r="U16" s="17"/>
      <c r="AC16" s="9"/>
      <c r="AD16" s="9"/>
      <c r="AE16" s="8" t="s">
        <v>113</v>
      </c>
      <c r="AF16" s="10">
        <v>5</v>
      </c>
      <c r="AG16" s="15" t="s">
        <v>114</v>
      </c>
      <c r="AH16" s="16"/>
      <c r="AI16" s="11"/>
      <c r="AJ16" s="12"/>
      <c r="AR16" s="9"/>
      <c r="AS16" s="9"/>
      <c r="AT16" s="8" t="s">
        <v>113</v>
      </c>
      <c r="AU16" s="10">
        <v>5</v>
      </c>
      <c r="AV16" s="15" t="s">
        <v>114</v>
      </c>
      <c r="AW16" s="16"/>
      <c r="AX16" s="11"/>
      <c r="AY16" s="12"/>
      <c r="BG16" s="9"/>
      <c r="BH16" s="9"/>
      <c r="BI16" s="8" t="s">
        <v>113</v>
      </c>
      <c r="BJ16" s="10">
        <v>5</v>
      </c>
      <c r="BK16" s="15" t="s">
        <v>114</v>
      </c>
      <c r="BL16" s="16"/>
      <c r="BM16" s="11"/>
      <c r="BN16" s="12"/>
    </row>
    <row r="17" spans="1:66" ht="16.5" thickBot="1" x14ac:dyDescent="0.3">
      <c r="A17" s="4"/>
      <c r="B17" s="3"/>
      <c r="N17" s="9"/>
      <c r="O17" s="8" t="s">
        <v>115</v>
      </c>
      <c r="P17" s="10">
        <v>9</v>
      </c>
      <c r="Q17" s="18" t="s">
        <v>114</v>
      </c>
      <c r="R17" s="13"/>
      <c r="S17" s="13"/>
      <c r="T17" s="13"/>
      <c r="U17" s="14"/>
      <c r="AC17" s="9"/>
      <c r="AD17" s="9"/>
      <c r="AE17" s="8" t="s">
        <v>115</v>
      </c>
      <c r="AF17" s="10">
        <v>10</v>
      </c>
      <c r="AG17" s="18" t="s">
        <v>114</v>
      </c>
      <c r="AH17" s="13"/>
      <c r="AI17" s="13"/>
      <c r="AJ17" s="14"/>
      <c r="AR17" s="9"/>
      <c r="AS17" s="9"/>
      <c r="AT17" s="8" t="s">
        <v>115</v>
      </c>
      <c r="AU17" s="10">
        <v>10</v>
      </c>
      <c r="AV17" s="18" t="s">
        <v>114</v>
      </c>
      <c r="AW17" s="13"/>
      <c r="AX17" s="13"/>
      <c r="AY17" s="14"/>
      <c r="BG17" s="9"/>
      <c r="BH17" s="9"/>
      <c r="BI17" s="8" t="s">
        <v>115</v>
      </c>
      <c r="BJ17" s="10">
        <v>10</v>
      </c>
      <c r="BK17" s="18" t="s">
        <v>114</v>
      </c>
      <c r="BL17" s="13"/>
      <c r="BM17" s="13"/>
      <c r="BN17" s="14"/>
    </row>
    <row r="18" spans="1:66" x14ac:dyDescent="0.25">
      <c r="A18" s="4"/>
      <c r="B18" s="3"/>
      <c r="O18" s="2" t="s">
        <v>116</v>
      </c>
      <c r="P18" s="27">
        <f>SQRT(AVERAGE(P4:P12))</f>
        <v>0.53210381473742108</v>
      </c>
      <c r="AE18" s="2" t="s">
        <v>116</v>
      </c>
      <c r="AF18" s="5" t="e">
        <f>SQRT(AVERAGE(AF4:AF15))</f>
        <v>#N/A</v>
      </c>
      <c r="AT18" s="2" t="s">
        <v>116</v>
      </c>
      <c r="AU18" s="5" t="e">
        <f>SQRT(AVERAGE(AU4:AU15))</f>
        <v>#N/A</v>
      </c>
      <c r="BI18" s="2" t="s">
        <v>116</v>
      </c>
      <c r="BJ18" s="5" t="e">
        <f>SQRT(AVERAGE(BJ4:BJ15))</f>
        <v>#N/A</v>
      </c>
    </row>
    <row r="19" spans="1:66" x14ac:dyDescent="0.25">
      <c r="A19" s="4"/>
      <c r="B19" s="3"/>
      <c r="O19" s="2" t="s">
        <v>117</v>
      </c>
      <c r="P19" s="27">
        <f>2.77*P18</f>
        <v>1.4739275668226564</v>
      </c>
      <c r="AE19" s="2" t="s">
        <v>117</v>
      </c>
      <c r="AF19" s="5" t="e">
        <f>2.77*AF18</f>
        <v>#N/A</v>
      </c>
      <c r="AT19" s="2" t="s">
        <v>117</v>
      </c>
      <c r="AU19" s="5" t="e">
        <f>2.77*AU18</f>
        <v>#N/A</v>
      </c>
      <c r="BI19" s="2" t="s">
        <v>117</v>
      </c>
      <c r="BJ19" s="5" t="e">
        <f>2.77*BJ18</f>
        <v>#N/A</v>
      </c>
    </row>
    <row r="20" spans="1:66" x14ac:dyDescent="0.25">
      <c r="A20" s="4"/>
      <c r="B20" s="3"/>
      <c r="O20" s="2" t="s">
        <v>118</v>
      </c>
      <c r="P20" s="27">
        <f>P19-(1.96*(P18/(SQRT(2*P17*(P16-1)))))</f>
        <v>1.351017856361943</v>
      </c>
      <c r="AE20" s="2" t="s">
        <v>118</v>
      </c>
      <c r="AF20" s="5" t="e">
        <f>AF19-(1.96*(AF18/(SQRT(2*AF17*(AF16-1)))))</f>
        <v>#N/A</v>
      </c>
      <c r="AT20" s="2" t="s">
        <v>118</v>
      </c>
      <c r="AU20" s="5" t="e">
        <f>AU19-(1.96*(AU18/(SQRT(2*AU17*(AU16-1)))))</f>
        <v>#N/A</v>
      </c>
      <c r="BI20" s="2" t="s">
        <v>118</v>
      </c>
      <c r="BJ20" s="5" t="e">
        <f>BJ19-(1.96*(BJ18/(SQRT(2*BJ17*(BJ16-1)))))</f>
        <v>#N/A</v>
      </c>
    </row>
    <row r="21" spans="1:66" s="24" customFormat="1" x14ac:dyDescent="0.25">
      <c r="A21" s="22"/>
      <c r="B21" s="23"/>
      <c r="O21" s="25" t="s">
        <v>119</v>
      </c>
      <c r="P21" s="33">
        <f>P19+(1.96*(P18/(SQRT(2*P17*(P16-1)))))</f>
        <v>1.5968372772833697</v>
      </c>
      <c r="AE21" s="25" t="s">
        <v>119</v>
      </c>
      <c r="AF21" s="26" t="e">
        <f>AF19+(1.96*(AF18/(SQRT(2*AF17*(AF16-1)))))</f>
        <v>#N/A</v>
      </c>
      <c r="AT21" s="25" t="s">
        <v>119</v>
      </c>
      <c r="AU21" s="26" t="e">
        <f>AU19+(1.96*(AU18/(SQRT(2*AU17*(AU16-1)))))</f>
        <v>#N/A</v>
      </c>
      <c r="BI21" s="25" t="s">
        <v>119</v>
      </c>
      <c r="BJ21" s="26" t="e">
        <f>BJ19+(1.96*(BJ18/(SQRT(2*BJ17*(BJ16-1)))))</f>
        <v>#N/A</v>
      </c>
    </row>
    <row r="22" spans="1:66" s="40" customFormat="1" x14ac:dyDescent="0.25">
      <c r="A22" s="41"/>
      <c r="B22" s="39"/>
      <c r="O22" s="42"/>
      <c r="P22" s="43"/>
      <c r="AE22" s="42"/>
      <c r="AF22" s="43"/>
      <c r="AT22" s="42"/>
      <c r="AU22" s="43"/>
      <c r="BI22" s="42"/>
      <c r="BJ22" s="43"/>
    </row>
    <row r="23" spans="1:66" x14ac:dyDescent="0.25">
      <c r="A23" s="73" t="s">
        <v>120</v>
      </c>
      <c r="B23" s="3" t="s">
        <v>100</v>
      </c>
      <c r="C23" s="21" t="s">
        <v>121</v>
      </c>
      <c r="D23">
        <v>2.0499999999999998</v>
      </c>
      <c r="E23">
        <v>1.84</v>
      </c>
      <c r="F23">
        <v>1.81</v>
      </c>
      <c r="G23">
        <v>2.13</v>
      </c>
      <c r="H23">
        <v>2.46</v>
      </c>
      <c r="I23">
        <v>0.64</v>
      </c>
      <c r="J23">
        <v>2.95</v>
      </c>
      <c r="K23">
        <v>2.44</v>
      </c>
      <c r="L23">
        <v>2.08</v>
      </c>
      <c r="M23">
        <v>2.14</v>
      </c>
      <c r="P23" s="5">
        <f t="shared" ref="P23:P29" si="7">IFERROR(STDEVA(D23:H23),#N/A)</f>
        <v>0.26262140049889349</v>
      </c>
      <c r="Q23">
        <f t="shared" ref="Q23:Q29" si="8">MEDIAN(D23:H23)</f>
        <v>2.0499999999999998</v>
      </c>
      <c r="R23" s="2">
        <f>MAX(J23:O23)</f>
        <v>2.95</v>
      </c>
      <c r="S23" s="27">
        <f t="shared" ref="S23:S29" si="9">100*(R23-Q23)/Q23</f>
        <v>43.902439024390262</v>
      </c>
    </row>
    <row r="24" spans="1:66" x14ac:dyDescent="0.25">
      <c r="A24" s="73"/>
      <c r="B24" s="3" t="s">
        <v>100</v>
      </c>
      <c r="C24" s="21" t="s">
        <v>122</v>
      </c>
      <c r="D24">
        <v>1.6</v>
      </c>
      <c r="E24">
        <v>2.19</v>
      </c>
      <c r="F24">
        <v>2.16</v>
      </c>
      <c r="G24">
        <v>2.11</v>
      </c>
      <c r="H24">
        <v>1.75</v>
      </c>
      <c r="I24">
        <v>1.04</v>
      </c>
      <c r="J24">
        <v>4.0599999999999996</v>
      </c>
      <c r="K24">
        <v>3.58</v>
      </c>
      <c r="L24">
        <v>3.55</v>
      </c>
      <c r="M24">
        <v>3.1</v>
      </c>
      <c r="P24" s="5">
        <f t="shared" si="7"/>
        <v>0.26883080180663749</v>
      </c>
      <c r="Q24">
        <f t="shared" si="8"/>
        <v>2.11</v>
      </c>
      <c r="R24" s="2">
        <f t="shared" ref="R24:R29" si="10">MAX(J24:O24)</f>
        <v>4.0599999999999996</v>
      </c>
      <c r="S24" s="27">
        <f t="shared" si="9"/>
        <v>92.417061611374393</v>
      </c>
    </row>
    <row r="25" spans="1:66" x14ac:dyDescent="0.25">
      <c r="A25" s="73"/>
      <c r="B25" s="3" t="s">
        <v>100</v>
      </c>
      <c r="C25" s="21" t="s">
        <v>123</v>
      </c>
      <c r="D25">
        <v>1.08</v>
      </c>
      <c r="E25">
        <v>1.44</v>
      </c>
      <c r="F25">
        <v>0.95</v>
      </c>
      <c r="G25">
        <v>1.1000000000000001</v>
      </c>
      <c r="H25">
        <v>1.56</v>
      </c>
      <c r="I25">
        <v>0.82</v>
      </c>
      <c r="J25">
        <v>2.25</v>
      </c>
      <c r="K25">
        <v>2.21</v>
      </c>
      <c r="L25">
        <v>3.26</v>
      </c>
      <c r="M25">
        <v>1.97</v>
      </c>
      <c r="P25" s="5">
        <f t="shared" si="7"/>
        <v>0.26015380066414467</v>
      </c>
      <c r="Q25">
        <f t="shared" si="8"/>
        <v>1.1000000000000001</v>
      </c>
      <c r="R25" s="2">
        <f t="shared" si="10"/>
        <v>3.26</v>
      </c>
      <c r="S25" s="27">
        <f t="shared" si="9"/>
        <v>196.36363636363632</v>
      </c>
    </row>
    <row r="26" spans="1:66" x14ac:dyDescent="0.25">
      <c r="A26" s="73"/>
      <c r="B26" s="3" t="s">
        <v>100</v>
      </c>
      <c r="C26" s="21" t="s">
        <v>124</v>
      </c>
      <c r="D26">
        <v>3.18</v>
      </c>
      <c r="E26">
        <v>3.42</v>
      </c>
      <c r="F26">
        <v>3.98</v>
      </c>
      <c r="G26">
        <v>3.17</v>
      </c>
      <c r="H26">
        <v>3.46</v>
      </c>
      <c r="I26">
        <v>1.52</v>
      </c>
      <c r="J26">
        <v>5.07</v>
      </c>
      <c r="K26">
        <v>3.68</v>
      </c>
      <c r="L26">
        <v>3.12</v>
      </c>
      <c r="M26">
        <v>3.05</v>
      </c>
      <c r="N26">
        <v>3.23</v>
      </c>
      <c r="O26">
        <v>3.31</v>
      </c>
      <c r="P26" s="5">
        <f t="shared" si="7"/>
        <v>0.32896808355826856</v>
      </c>
      <c r="Q26">
        <f t="shared" si="8"/>
        <v>3.42</v>
      </c>
      <c r="R26" s="2">
        <f t="shared" si="10"/>
        <v>5.07</v>
      </c>
      <c r="S26" s="27">
        <f t="shared" si="9"/>
        <v>48.245614035087726</v>
      </c>
      <c r="T26">
        <v>2.96</v>
      </c>
      <c r="U26">
        <v>2.97</v>
      </c>
      <c r="V26">
        <v>2.88</v>
      </c>
      <c r="W26">
        <v>2.79</v>
      </c>
      <c r="X26">
        <v>3.37</v>
      </c>
      <c r="Y26">
        <v>1.18</v>
      </c>
      <c r="Z26">
        <v>5.66</v>
      </c>
      <c r="AA26">
        <v>5.7</v>
      </c>
      <c r="AB26">
        <v>4.6100000000000003</v>
      </c>
      <c r="AC26">
        <v>4.2</v>
      </c>
      <c r="AD26">
        <v>4.0199999999999996</v>
      </c>
      <c r="AE26">
        <v>3.99</v>
      </c>
      <c r="AI26">
        <v>2.93</v>
      </c>
      <c r="AJ26">
        <v>3.48</v>
      </c>
      <c r="AK26">
        <v>3.42</v>
      </c>
      <c r="AL26">
        <v>2.74</v>
      </c>
      <c r="AM26">
        <v>3</v>
      </c>
      <c r="AN26">
        <v>1.8</v>
      </c>
      <c r="AO26">
        <v>3.75</v>
      </c>
      <c r="AP26">
        <v>5.07</v>
      </c>
      <c r="AQ26">
        <v>5.19</v>
      </c>
      <c r="AR26">
        <v>3.58</v>
      </c>
      <c r="AS26">
        <v>4.1100000000000003</v>
      </c>
      <c r="AT26">
        <v>3.76</v>
      </c>
      <c r="AX26">
        <v>3.92</v>
      </c>
      <c r="AY26">
        <v>3.78</v>
      </c>
      <c r="AZ26">
        <v>3.74</v>
      </c>
      <c r="BA26">
        <v>4.1500000000000004</v>
      </c>
      <c r="BB26">
        <v>4.18</v>
      </c>
      <c r="BC26">
        <v>1.57</v>
      </c>
      <c r="BD26">
        <v>4.75</v>
      </c>
      <c r="BE26">
        <v>5.66</v>
      </c>
      <c r="BF26">
        <v>4.87</v>
      </c>
      <c r="BG26">
        <v>4.68</v>
      </c>
      <c r="BH26">
        <v>4.78</v>
      </c>
      <c r="BI26">
        <v>4.54</v>
      </c>
    </row>
    <row r="27" spans="1:66" x14ac:dyDescent="0.25">
      <c r="A27" s="73"/>
      <c r="B27" s="3" t="s">
        <v>100</v>
      </c>
      <c r="C27" s="21" t="s">
        <v>125</v>
      </c>
      <c r="D27">
        <v>4.04</v>
      </c>
      <c r="E27">
        <v>3.01</v>
      </c>
      <c r="F27">
        <v>5.17</v>
      </c>
      <c r="G27">
        <v>5.15</v>
      </c>
      <c r="H27">
        <v>5.31</v>
      </c>
      <c r="I27">
        <v>2.21</v>
      </c>
      <c r="J27">
        <v>3.6</v>
      </c>
      <c r="K27">
        <v>2.85</v>
      </c>
      <c r="L27">
        <v>3.21</v>
      </c>
      <c r="M27">
        <v>3.2</v>
      </c>
      <c r="N27">
        <v>3.54</v>
      </c>
      <c r="O27">
        <v>3.61</v>
      </c>
      <c r="P27" s="5">
        <f>IFERROR(STDEVA(D27:H27),#N/A)</f>
        <v>0.99407243196861839</v>
      </c>
      <c r="Q27">
        <f t="shared" si="8"/>
        <v>5.15</v>
      </c>
      <c r="R27" s="2">
        <f t="shared" si="10"/>
        <v>3.61</v>
      </c>
      <c r="S27" s="27">
        <f t="shared" si="9"/>
        <v>-29.902912621359231</v>
      </c>
    </row>
    <row r="28" spans="1:66" x14ac:dyDescent="0.25">
      <c r="A28" s="73"/>
      <c r="B28" s="3" t="s">
        <v>100</v>
      </c>
      <c r="C28" s="21" t="s">
        <v>126</v>
      </c>
      <c r="D28">
        <v>1.34</v>
      </c>
      <c r="E28">
        <v>2.04</v>
      </c>
      <c r="F28">
        <v>2.42</v>
      </c>
      <c r="G28">
        <v>2.48</v>
      </c>
      <c r="H28">
        <v>2.04</v>
      </c>
      <c r="I28">
        <v>1.67</v>
      </c>
      <c r="J28">
        <v>1.53</v>
      </c>
      <c r="K28">
        <v>2.4700000000000002</v>
      </c>
      <c r="L28">
        <v>2.83</v>
      </c>
      <c r="M28">
        <v>2.65</v>
      </c>
      <c r="N28">
        <v>2.8</v>
      </c>
      <c r="O28">
        <v>2.68</v>
      </c>
      <c r="P28" s="5">
        <f t="shared" si="7"/>
        <v>0.454180580826614</v>
      </c>
      <c r="Q28">
        <f t="shared" si="8"/>
        <v>2.04</v>
      </c>
      <c r="R28" s="2">
        <f t="shared" si="10"/>
        <v>2.83</v>
      </c>
      <c r="S28" s="27">
        <f t="shared" si="9"/>
        <v>38.725490196078432</v>
      </c>
    </row>
    <row r="29" spans="1:66" x14ac:dyDescent="0.25">
      <c r="A29" s="73"/>
      <c r="B29" s="3" t="s">
        <v>100</v>
      </c>
      <c r="C29" s="21" t="s">
        <v>127</v>
      </c>
      <c r="D29">
        <v>2.61</v>
      </c>
      <c r="E29">
        <v>2.21</v>
      </c>
      <c r="F29">
        <v>2.0499999999999998</v>
      </c>
      <c r="G29">
        <v>2.1800000000000002</v>
      </c>
      <c r="H29">
        <v>2.2999999999999998</v>
      </c>
      <c r="I29">
        <v>2.2999999999999998</v>
      </c>
      <c r="J29">
        <v>3.03</v>
      </c>
      <c r="K29">
        <v>2.2999999999999998</v>
      </c>
      <c r="L29">
        <v>1.65</v>
      </c>
      <c r="M29">
        <v>2.13</v>
      </c>
      <c r="N29">
        <v>2.0499999999999998</v>
      </c>
      <c r="O29">
        <v>1.87</v>
      </c>
      <c r="P29" s="5">
        <f t="shared" si="7"/>
        <v>0.21011901389450691</v>
      </c>
      <c r="Q29">
        <f t="shared" si="8"/>
        <v>2.21</v>
      </c>
      <c r="R29" s="2">
        <f t="shared" si="10"/>
        <v>3.03</v>
      </c>
      <c r="S29" s="27">
        <f t="shared" si="9"/>
        <v>37.104072398190041</v>
      </c>
    </row>
    <row r="30" spans="1:66" x14ac:dyDescent="0.25">
      <c r="A30" s="73"/>
      <c r="B30" s="3"/>
      <c r="P30" s="31" t="s">
        <v>110</v>
      </c>
      <c r="Q30" s="29">
        <f>AVERAGE(Q23:Q29)</f>
        <v>2.5828571428571432</v>
      </c>
      <c r="R30" s="30">
        <f>AVERAGE(R21:R29)</f>
        <v>3.5442857142857145</v>
      </c>
      <c r="S30" s="29">
        <f>AVERAGE(S23:S29)</f>
        <v>60.979343001056854</v>
      </c>
    </row>
    <row r="31" spans="1:66" x14ac:dyDescent="0.25">
      <c r="A31" s="73"/>
      <c r="B31" s="3"/>
      <c r="P31" s="31" t="s">
        <v>111</v>
      </c>
      <c r="Q31" s="29">
        <f>STDEVA(Q19:Q29)</f>
        <v>1.31853092854275</v>
      </c>
      <c r="R31" s="29">
        <f>STDEVA(R21:R29)</f>
        <v>0.79653116998765428</v>
      </c>
      <c r="S31" s="29">
        <f>STDEVA(S23:S29)</f>
        <v>69.636978253364632</v>
      </c>
    </row>
    <row r="32" spans="1:66" ht="16.5" thickBot="1" x14ac:dyDescent="0.3">
      <c r="A32" s="73"/>
      <c r="B32" s="3"/>
      <c r="P32" s="31" t="s">
        <v>112</v>
      </c>
      <c r="Q32" s="32">
        <f>Q31/Q30</f>
        <v>0.51049316923668409</v>
      </c>
      <c r="R32" s="32">
        <f>R31/R30</f>
        <v>0.22473672671961223</v>
      </c>
      <c r="S32" s="32">
        <f>S31/S30</f>
        <v>1.141976525594212</v>
      </c>
    </row>
    <row r="33" spans="1:66" x14ac:dyDescent="0.25">
      <c r="A33" s="4"/>
      <c r="B33" s="3"/>
      <c r="N33" s="9"/>
      <c r="O33" s="8" t="s">
        <v>113</v>
      </c>
      <c r="P33" s="10">
        <v>5</v>
      </c>
      <c r="Q33" s="15" t="s">
        <v>114</v>
      </c>
      <c r="R33" s="16"/>
      <c r="S33" s="16"/>
      <c r="T33" s="16"/>
      <c r="U33" s="17"/>
      <c r="AC33" s="9"/>
      <c r="AD33" s="9"/>
      <c r="AE33" s="8" t="s">
        <v>113</v>
      </c>
      <c r="AF33" s="10">
        <v>5</v>
      </c>
      <c r="AG33" s="15" t="s">
        <v>114</v>
      </c>
      <c r="AH33" s="16"/>
      <c r="AI33" s="11"/>
      <c r="AJ33" s="12"/>
      <c r="AR33" s="9"/>
      <c r="AS33" s="9"/>
      <c r="AT33" s="8" t="s">
        <v>113</v>
      </c>
      <c r="AU33" s="10">
        <v>5</v>
      </c>
      <c r="AV33" s="15" t="s">
        <v>114</v>
      </c>
      <c r="AW33" s="16"/>
      <c r="AX33" s="11"/>
      <c r="AY33" s="12"/>
      <c r="BG33" s="9"/>
      <c r="BH33" s="9"/>
      <c r="BI33" s="8" t="s">
        <v>113</v>
      </c>
      <c r="BJ33" s="10">
        <v>5</v>
      </c>
      <c r="BK33" s="15" t="s">
        <v>114</v>
      </c>
      <c r="BL33" s="16"/>
      <c r="BM33" s="11"/>
      <c r="BN33" s="12"/>
    </row>
    <row r="34" spans="1:66" ht="16.5" thickBot="1" x14ac:dyDescent="0.3">
      <c r="A34" s="4"/>
      <c r="B34" s="3"/>
      <c r="N34" s="9"/>
      <c r="O34" s="8" t="s">
        <v>115</v>
      </c>
      <c r="P34" s="10">
        <v>7</v>
      </c>
      <c r="Q34" s="18" t="s">
        <v>114</v>
      </c>
      <c r="R34" s="13"/>
      <c r="S34" s="13"/>
      <c r="T34" s="13"/>
      <c r="U34" s="14"/>
      <c r="AC34" s="9"/>
      <c r="AD34" s="9"/>
      <c r="AE34" s="8" t="s">
        <v>115</v>
      </c>
      <c r="AF34" s="10">
        <v>10</v>
      </c>
      <c r="AG34" s="18" t="s">
        <v>114</v>
      </c>
      <c r="AH34" s="13"/>
      <c r="AI34" s="13"/>
      <c r="AJ34" s="14"/>
      <c r="AR34" s="9"/>
      <c r="AS34" s="9"/>
      <c r="AT34" s="8" t="s">
        <v>115</v>
      </c>
      <c r="AU34" s="10">
        <v>10</v>
      </c>
      <c r="AV34" s="18" t="s">
        <v>114</v>
      </c>
      <c r="AW34" s="13"/>
      <c r="AX34" s="13"/>
      <c r="AY34" s="14"/>
      <c r="BG34" s="9"/>
      <c r="BH34" s="9"/>
      <c r="BI34" s="8" t="s">
        <v>115</v>
      </c>
      <c r="BJ34" s="10">
        <v>10</v>
      </c>
      <c r="BK34" s="18" t="s">
        <v>114</v>
      </c>
      <c r="BL34" s="13"/>
      <c r="BM34" s="13"/>
      <c r="BN34" s="14"/>
    </row>
    <row r="35" spans="1:66" x14ac:dyDescent="0.25">
      <c r="A35" s="4"/>
      <c r="B35" s="3"/>
      <c r="O35" s="2" t="s">
        <v>116</v>
      </c>
      <c r="P35" s="27">
        <f>SQRT(AVERAGE(P23:P32))</f>
        <v>0.63007325120833413</v>
      </c>
      <c r="AE35" s="2" t="s">
        <v>116</v>
      </c>
      <c r="AF35" s="5" t="e">
        <f>SQRT(AVERAGE(AF23:AF32))</f>
        <v>#DIV/0!</v>
      </c>
      <c r="AT35" s="2" t="s">
        <v>116</v>
      </c>
      <c r="AU35" s="5" t="e">
        <f>SQRT(AVERAGE(AU23:AU32))</f>
        <v>#DIV/0!</v>
      </c>
      <c r="BI35" s="2" t="s">
        <v>116</v>
      </c>
      <c r="BJ35" s="5" t="e">
        <f>SQRT(AVERAGE(BJ23:BJ32))</f>
        <v>#DIV/0!</v>
      </c>
    </row>
    <row r="36" spans="1:66" x14ac:dyDescent="0.25">
      <c r="A36" s="4"/>
      <c r="B36" s="3"/>
      <c r="O36" s="2" t="s">
        <v>117</v>
      </c>
      <c r="P36" s="27">
        <f>2.77*P35</f>
        <v>1.7453029058470855</v>
      </c>
      <c r="AE36" s="2" t="s">
        <v>117</v>
      </c>
      <c r="AF36" s="5" t="e">
        <f>2.77*AF35</f>
        <v>#DIV/0!</v>
      </c>
      <c r="AT36" s="2" t="s">
        <v>117</v>
      </c>
      <c r="AU36" s="5" t="e">
        <f>2.77*AU35</f>
        <v>#DIV/0!</v>
      </c>
      <c r="BI36" s="2" t="s">
        <v>117</v>
      </c>
      <c r="BJ36" s="5" t="e">
        <f>2.77*BJ35</f>
        <v>#DIV/0!</v>
      </c>
    </row>
    <row r="37" spans="1:66" x14ac:dyDescent="0.25">
      <c r="A37" s="4"/>
      <c r="B37" s="3"/>
      <c r="O37" s="2" t="s">
        <v>118</v>
      </c>
      <c r="P37" s="27">
        <f>P36-(1.96*(P35/(SQRT(2*P34*(P33-1)))))</f>
        <v>1.5802766294256219</v>
      </c>
      <c r="AE37" s="2" t="s">
        <v>118</v>
      </c>
      <c r="AF37" s="5" t="e">
        <f>AF36-(1.96*(AF35/(SQRT(2*AF34*(AF33-1)))))</f>
        <v>#DIV/0!</v>
      </c>
      <c r="AT37" s="2" t="s">
        <v>118</v>
      </c>
      <c r="AU37" s="5" t="e">
        <f>AU36-(1.96*(AU35/(SQRT(2*AU34*(AU33-1)))))</f>
        <v>#DIV/0!</v>
      </c>
      <c r="BI37" s="2" t="s">
        <v>118</v>
      </c>
      <c r="BJ37" s="5" t="e">
        <f>BJ36-(1.96*(BJ35/(SQRT(2*BJ34*(BJ33-1)))))</f>
        <v>#DIV/0!</v>
      </c>
    </row>
    <row r="38" spans="1:66" x14ac:dyDescent="0.25">
      <c r="A38" s="4"/>
      <c r="B38" s="3"/>
      <c r="O38" s="2" t="s">
        <v>119</v>
      </c>
      <c r="P38" s="27">
        <f>P36+(1.96*(P35/(SQRT(2*P34*(P33-1)))))</f>
        <v>1.9103291822685491</v>
      </c>
      <c r="AE38" s="2" t="s">
        <v>119</v>
      </c>
      <c r="AF38" s="5" t="e">
        <f>AF36+(1.96*(AF35/(SQRT(2*AF34*(AF33-1)))))</f>
        <v>#DIV/0!</v>
      </c>
      <c r="AT38" s="2" t="s">
        <v>119</v>
      </c>
      <c r="AU38" s="5" t="e">
        <f>AU36+(1.96*(AU35/(SQRT(2*AU34*(AU33-1)))))</f>
        <v>#DIV/0!</v>
      </c>
      <c r="BI38" s="2" t="s">
        <v>119</v>
      </c>
      <c r="BJ38" s="5" t="e">
        <f>BJ36+(1.96*(BJ35/(SQRT(2*BJ34*(BJ33-1)))))</f>
        <v>#DIV/0!</v>
      </c>
    </row>
    <row r="39" spans="1:66" s="40" customFormat="1" x14ac:dyDescent="0.25">
      <c r="A39" s="41"/>
      <c r="B39" s="39"/>
      <c r="O39" s="42"/>
      <c r="P39" s="47"/>
      <c r="AE39" s="42"/>
      <c r="AF39" s="43"/>
      <c r="AT39" s="42"/>
      <c r="AU39" s="43"/>
      <c r="BI39" s="42"/>
      <c r="BJ39" s="43"/>
    </row>
    <row r="40" spans="1:66" x14ac:dyDescent="0.25">
      <c r="A40" s="68" t="s">
        <v>128</v>
      </c>
      <c r="B40" s="3" t="s">
        <v>100</v>
      </c>
      <c r="C40" s="21" t="s">
        <v>129</v>
      </c>
      <c r="D40">
        <v>1.89</v>
      </c>
      <c r="E40">
        <v>2.2799999999999998</v>
      </c>
      <c r="F40">
        <v>2.15</v>
      </c>
      <c r="G40">
        <v>2.2599999999999998</v>
      </c>
      <c r="H40">
        <v>2.12</v>
      </c>
      <c r="I40">
        <v>0.99</v>
      </c>
      <c r="J40">
        <v>3.03</v>
      </c>
      <c r="K40">
        <v>2.58</v>
      </c>
      <c r="L40">
        <v>2.5499999999999998</v>
      </c>
      <c r="M40">
        <v>2.5</v>
      </c>
      <c r="P40" s="5">
        <f t="shared" ref="P40" si="11">IFERROR(STDEVA(D40:H40),#N/A)</f>
        <v>0.15572411502397432</v>
      </c>
      <c r="Q40">
        <f t="shared" ref="Q40" si="12">MEDIAN(D40:H40)</f>
        <v>2.15</v>
      </c>
      <c r="R40" s="2">
        <f t="shared" ref="R40:R50" si="13">MAX(J40:O40)</f>
        <v>3.03</v>
      </c>
      <c r="S40" s="27">
        <f t="shared" ref="S40:S50" si="14">100*(R40-Q40)/Q40</f>
        <v>40.930232558139529</v>
      </c>
    </row>
    <row r="41" spans="1:66" x14ac:dyDescent="0.25">
      <c r="A41" s="68"/>
      <c r="B41" s="3" t="s">
        <v>100</v>
      </c>
      <c r="C41" s="21" t="s">
        <v>130</v>
      </c>
      <c r="D41">
        <v>1.23</v>
      </c>
      <c r="E41">
        <v>1.1399999999999999</v>
      </c>
      <c r="F41">
        <v>0.88</v>
      </c>
      <c r="G41">
        <v>1.06</v>
      </c>
      <c r="H41">
        <v>1.1599999999999999</v>
      </c>
      <c r="I41">
        <v>0.59</v>
      </c>
      <c r="J41">
        <v>2.76</v>
      </c>
      <c r="K41">
        <v>2.4900000000000002</v>
      </c>
      <c r="L41">
        <v>1.91</v>
      </c>
      <c r="M41">
        <v>1.54</v>
      </c>
      <c r="P41" s="5">
        <f t="shared" ref="P41:P50" si="15">IFERROR(STDEVA(D41:H41),#N/A)</f>
        <v>0.1340895223348926</v>
      </c>
      <c r="Q41">
        <f t="shared" ref="Q41:Q50" si="16">MEDIAN(D41:H41)</f>
        <v>1.1399999999999999</v>
      </c>
      <c r="R41" s="2">
        <f t="shared" si="13"/>
        <v>2.76</v>
      </c>
      <c r="S41" s="27">
        <f t="shared" si="14"/>
        <v>142.10526315789474</v>
      </c>
    </row>
    <row r="42" spans="1:66" x14ac:dyDescent="0.25">
      <c r="A42" s="68"/>
      <c r="B42" s="3" t="s">
        <v>100</v>
      </c>
      <c r="C42" s="21" t="s">
        <v>131</v>
      </c>
      <c r="D42">
        <v>2.0099999999999998</v>
      </c>
      <c r="E42">
        <v>2.0499999999999998</v>
      </c>
      <c r="F42">
        <v>1.93</v>
      </c>
      <c r="G42">
        <v>2.34</v>
      </c>
      <c r="H42">
        <v>2.3199999999999998</v>
      </c>
      <c r="I42">
        <v>1.87</v>
      </c>
      <c r="J42">
        <v>4.24</v>
      </c>
      <c r="K42">
        <v>3.32</v>
      </c>
      <c r="L42">
        <v>2.9</v>
      </c>
      <c r="M42">
        <v>2.71</v>
      </c>
      <c r="N42">
        <v>2.21</v>
      </c>
      <c r="O42">
        <v>3.46</v>
      </c>
      <c r="P42" s="5">
        <f t="shared" si="15"/>
        <v>0.18774983355518587</v>
      </c>
      <c r="Q42">
        <f t="shared" si="16"/>
        <v>2.0499999999999998</v>
      </c>
      <c r="R42" s="2">
        <f t="shared" si="13"/>
        <v>4.24</v>
      </c>
      <c r="S42" s="27">
        <f t="shared" si="14"/>
        <v>106.82926829268295</v>
      </c>
      <c r="T42">
        <v>2.36</v>
      </c>
      <c r="U42">
        <v>2.5299999999999998</v>
      </c>
      <c r="V42">
        <v>2.2599999999999998</v>
      </c>
      <c r="W42">
        <v>2.17</v>
      </c>
      <c r="X42">
        <v>2.68</v>
      </c>
      <c r="Y42">
        <v>1.3</v>
      </c>
      <c r="Z42">
        <v>4.05</v>
      </c>
      <c r="AA42">
        <v>4.25</v>
      </c>
      <c r="AB42">
        <v>3.74</v>
      </c>
      <c r="AC42">
        <v>3.01</v>
      </c>
      <c r="AD42">
        <v>2.2999999999999998</v>
      </c>
      <c r="AE42">
        <v>2.91</v>
      </c>
      <c r="AI42">
        <v>2.0499999999999998</v>
      </c>
      <c r="AJ42">
        <v>2.5099999999999998</v>
      </c>
      <c r="AK42">
        <v>2.99</v>
      </c>
      <c r="AL42">
        <v>2.82</v>
      </c>
      <c r="AM42">
        <v>3.58</v>
      </c>
      <c r="AN42">
        <v>1.19</v>
      </c>
      <c r="AO42">
        <v>4.17</v>
      </c>
      <c r="AP42">
        <v>3.73</v>
      </c>
      <c r="AQ42">
        <v>3.73</v>
      </c>
      <c r="AR42">
        <v>3.2</v>
      </c>
      <c r="AS42">
        <v>2.68</v>
      </c>
      <c r="AT42">
        <v>2.87</v>
      </c>
      <c r="AX42">
        <v>2.2599999999999998</v>
      </c>
      <c r="AY42">
        <v>2.2599999999999998</v>
      </c>
      <c r="AZ42">
        <v>2.89</v>
      </c>
      <c r="BA42">
        <v>2.92</v>
      </c>
      <c r="BB42">
        <v>2.86</v>
      </c>
      <c r="BC42">
        <v>1.18</v>
      </c>
      <c r="BD42">
        <v>3.73</v>
      </c>
      <c r="BE42">
        <v>4.03</v>
      </c>
      <c r="BF42">
        <v>3.74</v>
      </c>
      <c r="BG42">
        <v>2.97</v>
      </c>
      <c r="BH42">
        <v>3.08</v>
      </c>
      <c r="BI42">
        <v>3.66</v>
      </c>
    </row>
    <row r="43" spans="1:66" x14ac:dyDescent="0.25">
      <c r="A43" s="68"/>
      <c r="B43" s="3" t="s">
        <v>100</v>
      </c>
      <c r="C43" s="21" t="s">
        <v>132</v>
      </c>
      <c r="D43">
        <v>1.73</v>
      </c>
      <c r="E43">
        <v>1.63</v>
      </c>
      <c r="F43">
        <v>1.97</v>
      </c>
      <c r="G43">
        <v>1.89</v>
      </c>
      <c r="I43">
        <v>2.21</v>
      </c>
      <c r="J43">
        <v>3.73</v>
      </c>
      <c r="K43">
        <v>2.4500000000000002</v>
      </c>
      <c r="L43">
        <v>2.2999999999999998</v>
      </c>
      <c r="M43">
        <v>2.2999999999999998</v>
      </c>
      <c r="N43">
        <v>2.76</v>
      </c>
      <c r="O43">
        <v>2.73</v>
      </c>
      <c r="P43" s="5">
        <f t="shared" si="15"/>
        <v>0.15351438586225943</v>
      </c>
      <c r="Q43">
        <f t="shared" si="16"/>
        <v>1.81</v>
      </c>
      <c r="R43" s="2">
        <f t="shared" si="13"/>
        <v>3.73</v>
      </c>
      <c r="S43" s="27">
        <f t="shared" si="14"/>
        <v>106.07734806629834</v>
      </c>
    </row>
    <row r="44" spans="1:66" x14ac:dyDescent="0.25">
      <c r="A44" s="68"/>
      <c r="B44" s="3" t="s">
        <v>100</v>
      </c>
      <c r="C44" s="21" t="s">
        <v>133</v>
      </c>
      <c r="D44">
        <v>2.17</v>
      </c>
      <c r="E44">
        <v>2.27</v>
      </c>
      <c r="F44">
        <v>2.1</v>
      </c>
      <c r="G44">
        <v>2.12</v>
      </c>
      <c r="H44">
        <v>2.63</v>
      </c>
      <c r="I44">
        <v>1.78</v>
      </c>
      <c r="J44">
        <v>3.49</v>
      </c>
      <c r="K44">
        <v>2.21</v>
      </c>
      <c r="L44">
        <v>1.99</v>
      </c>
      <c r="M44">
        <v>2.57</v>
      </c>
      <c r="N44">
        <v>2.48</v>
      </c>
      <c r="O44">
        <v>2.75</v>
      </c>
      <c r="P44" s="5">
        <f t="shared" si="15"/>
        <v>0.21810547906918792</v>
      </c>
      <c r="Q44">
        <f t="shared" si="16"/>
        <v>2.17</v>
      </c>
      <c r="R44" s="2">
        <f t="shared" si="13"/>
        <v>3.49</v>
      </c>
      <c r="S44" s="27">
        <f t="shared" si="14"/>
        <v>60.829493087557616</v>
      </c>
    </row>
    <row r="45" spans="1:66" x14ac:dyDescent="0.25">
      <c r="A45" s="68"/>
      <c r="B45" s="3" t="s">
        <v>100</v>
      </c>
      <c r="C45" s="21" t="s">
        <v>134</v>
      </c>
      <c r="D45">
        <v>1.99</v>
      </c>
      <c r="E45">
        <v>2.59</v>
      </c>
      <c r="F45">
        <v>2.5299999999999998</v>
      </c>
      <c r="G45">
        <v>2.5299999999999998</v>
      </c>
      <c r="H45">
        <v>2.04</v>
      </c>
      <c r="I45">
        <v>2.16</v>
      </c>
      <c r="J45">
        <v>5.59</v>
      </c>
      <c r="K45">
        <v>3.82</v>
      </c>
      <c r="L45">
        <v>2.81</v>
      </c>
      <c r="M45">
        <v>3.08</v>
      </c>
      <c r="N45">
        <v>3.05</v>
      </c>
      <c r="O45">
        <v>2.91</v>
      </c>
      <c r="P45" s="5">
        <f t="shared" si="15"/>
        <v>0.29458445308603942</v>
      </c>
      <c r="Q45">
        <f t="shared" si="16"/>
        <v>2.5299999999999998</v>
      </c>
      <c r="R45" s="2">
        <f t="shared" si="13"/>
        <v>5.59</v>
      </c>
      <c r="S45" s="27">
        <f t="shared" si="14"/>
        <v>120.94861660079053</v>
      </c>
      <c r="T45">
        <v>2.2599999999999998</v>
      </c>
      <c r="U45">
        <v>2.44</v>
      </c>
      <c r="V45">
        <v>2.0699999999999998</v>
      </c>
      <c r="W45">
        <v>1.99</v>
      </c>
      <c r="X45">
        <v>2.04</v>
      </c>
      <c r="Y45">
        <v>1.2</v>
      </c>
      <c r="Z45">
        <v>5.81</v>
      </c>
      <c r="AA45">
        <v>3.62</v>
      </c>
      <c r="AB45">
        <v>2.62</v>
      </c>
      <c r="AC45">
        <v>2.41</v>
      </c>
      <c r="AD45">
        <v>2.13</v>
      </c>
      <c r="AE45">
        <v>2.2599999999999998</v>
      </c>
      <c r="AI45">
        <v>2.86</v>
      </c>
      <c r="AJ45">
        <v>2.93</v>
      </c>
      <c r="AK45">
        <v>2.84</v>
      </c>
      <c r="AL45">
        <v>2.72</v>
      </c>
      <c r="AM45">
        <v>2.97</v>
      </c>
      <c r="AN45">
        <v>2.13</v>
      </c>
      <c r="AO45">
        <v>5.65</v>
      </c>
      <c r="AP45">
        <v>5.21</v>
      </c>
      <c r="AQ45">
        <v>4.74</v>
      </c>
      <c r="AR45">
        <v>4.41</v>
      </c>
      <c r="AS45">
        <v>3.87</v>
      </c>
      <c r="AT45">
        <v>4.3099999999999996</v>
      </c>
      <c r="AX45">
        <v>2.63</v>
      </c>
      <c r="AY45">
        <v>3.09</v>
      </c>
      <c r="AZ45">
        <v>3.04</v>
      </c>
      <c r="BA45">
        <v>2.91</v>
      </c>
      <c r="BB45">
        <v>2.97</v>
      </c>
      <c r="BC45">
        <v>2.0699999999999998</v>
      </c>
      <c r="BD45">
        <v>5.31</v>
      </c>
      <c r="BE45">
        <v>4.3099999999999996</v>
      </c>
      <c r="BF45">
        <v>3.73</v>
      </c>
      <c r="BG45">
        <v>3.61</v>
      </c>
      <c r="BH45">
        <v>3.36</v>
      </c>
      <c r="BI45">
        <v>3.19</v>
      </c>
    </row>
    <row r="46" spans="1:66" x14ac:dyDescent="0.25">
      <c r="A46" s="68"/>
      <c r="B46" s="3" t="s">
        <v>100</v>
      </c>
      <c r="C46" s="21" t="s">
        <v>135</v>
      </c>
      <c r="D46">
        <v>1.6</v>
      </c>
      <c r="E46">
        <v>2.17</v>
      </c>
      <c r="F46">
        <v>2.36</v>
      </c>
      <c r="G46">
        <v>2.13</v>
      </c>
      <c r="H46">
        <v>2.56</v>
      </c>
      <c r="I46">
        <v>2.73</v>
      </c>
      <c r="J46">
        <v>1.73</v>
      </c>
      <c r="K46">
        <v>3.88</v>
      </c>
      <c r="L46">
        <v>3.11</v>
      </c>
      <c r="M46">
        <v>2.91</v>
      </c>
      <c r="N46">
        <v>3.39</v>
      </c>
      <c r="O46">
        <v>2.48</v>
      </c>
      <c r="P46" s="5">
        <f t="shared" si="15"/>
        <v>0.35865024745565055</v>
      </c>
      <c r="Q46">
        <f t="shared" si="16"/>
        <v>2.17</v>
      </c>
      <c r="R46" s="2">
        <f t="shared" si="13"/>
        <v>3.88</v>
      </c>
      <c r="S46" s="27">
        <f t="shared" si="14"/>
        <v>78.801843317972356</v>
      </c>
    </row>
    <row r="47" spans="1:66" x14ac:dyDescent="0.25">
      <c r="A47" s="68"/>
      <c r="B47" s="3" t="s">
        <v>100</v>
      </c>
      <c r="C47" s="21" t="s">
        <v>136</v>
      </c>
      <c r="D47">
        <v>2.2999999999999998</v>
      </c>
      <c r="E47">
        <v>2.4</v>
      </c>
      <c r="F47">
        <v>2.3199999999999998</v>
      </c>
      <c r="G47">
        <v>2.3199999999999998</v>
      </c>
      <c r="H47">
        <v>2.35</v>
      </c>
      <c r="I47">
        <v>1.6</v>
      </c>
      <c r="J47">
        <v>3.84</v>
      </c>
      <c r="K47">
        <v>2.37</v>
      </c>
      <c r="L47">
        <v>2.36</v>
      </c>
      <c r="M47">
        <v>1.7</v>
      </c>
      <c r="N47">
        <v>2.21</v>
      </c>
      <c r="O47">
        <v>2.1800000000000002</v>
      </c>
      <c r="P47" s="5">
        <f t="shared" si="15"/>
        <v>3.8987177379235904E-2</v>
      </c>
      <c r="Q47">
        <f t="shared" si="16"/>
        <v>2.3199999999999998</v>
      </c>
      <c r="R47" s="2">
        <f t="shared" si="13"/>
        <v>3.84</v>
      </c>
      <c r="S47" s="27">
        <f t="shared" si="14"/>
        <v>65.517241379310349</v>
      </c>
    </row>
    <row r="48" spans="1:66" x14ac:dyDescent="0.25">
      <c r="A48" s="68"/>
      <c r="B48" s="3" t="s">
        <v>100</v>
      </c>
      <c r="C48" s="21" t="s">
        <v>137</v>
      </c>
      <c r="D48">
        <v>3.17</v>
      </c>
      <c r="E48">
        <v>3.24</v>
      </c>
      <c r="F48">
        <v>3.56</v>
      </c>
      <c r="G48">
        <v>3.52</v>
      </c>
      <c r="H48">
        <v>2.99</v>
      </c>
      <c r="I48">
        <v>1.75</v>
      </c>
      <c r="J48">
        <v>5.36</v>
      </c>
      <c r="K48">
        <v>4.72</v>
      </c>
      <c r="L48">
        <v>4.2300000000000004</v>
      </c>
      <c r="M48">
        <v>3.92</v>
      </c>
      <c r="N48">
        <v>3.82</v>
      </c>
      <c r="O48">
        <v>3.77</v>
      </c>
      <c r="P48" s="5">
        <f t="shared" si="15"/>
        <v>0.24110163831878034</v>
      </c>
      <c r="Q48">
        <f t="shared" si="16"/>
        <v>3.24</v>
      </c>
      <c r="R48" s="2">
        <f t="shared" si="13"/>
        <v>5.36</v>
      </c>
      <c r="S48" s="27">
        <f t="shared" si="14"/>
        <v>65.432098765432087</v>
      </c>
    </row>
    <row r="49" spans="1:66" x14ac:dyDescent="0.25">
      <c r="A49" s="68"/>
      <c r="B49" s="3" t="s">
        <v>100</v>
      </c>
      <c r="C49" s="21" t="s">
        <v>138</v>
      </c>
      <c r="D49">
        <v>2.09</v>
      </c>
      <c r="E49">
        <v>2.4</v>
      </c>
      <c r="F49">
        <v>3.14</v>
      </c>
      <c r="G49">
        <v>3.18</v>
      </c>
      <c r="H49">
        <v>2.78</v>
      </c>
      <c r="I49">
        <v>1.63</v>
      </c>
      <c r="J49">
        <v>4.41</v>
      </c>
      <c r="K49">
        <v>3.56</v>
      </c>
      <c r="L49">
        <v>3.66</v>
      </c>
      <c r="M49">
        <v>3.17</v>
      </c>
      <c r="N49">
        <v>3.2</v>
      </c>
      <c r="O49">
        <v>3.22</v>
      </c>
      <c r="P49" s="5">
        <f t="shared" si="15"/>
        <v>0.47193219852008478</v>
      </c>
      <c r="Q49">
        <f t="shared" si="16"/>
        <v>2.78</v>
      </c>
      <c r="R49" s="2">
        <f t="shared" si="13"/>
        <v>4.41</v>
      </c>
      <c r="S49" s="27">
        <f t="shared" si="14"/>
        <v>58.633093525179873</v>
      </c>
    </row>
    <row r="50" spans="1:66" x14ac:dyDescent="0.25">
      <c r="A50" s="68"/>
      <c r="B50" s="3" t="s">
        <v>100</v>
      </c>
      <c r="C50" s="21" t="s">
        <v>139</v>
      </c>
      <c r="D50">
        <v>2.09</v>
      </c>
      <c r="E50">
        <v>1.99</v>
      </c>
      <c r="F50">
        <v>2.77</v>
      </c>
      <c r="G50">
        <v>3.37</v>
      </c>
      <c r="H50">
        <v>2.96</v>
      </c>
      <c r="I50">
        <v>1.26</v>
      </c>
      <c r="J50">
        <v>5.55</v>
      </c>
      <c r="K50">
        <v>4.74</v>
      </c>
      <c r="L50">
        <v>4.03</v>
      </c>
      <c r="M50">
        <v>3.12</v>
      </c>
      <c r="N50">
        <v>3.11</v>
      </c>
      <c r="O50">
        <v>2.69</v>
      </c>
      <c r="P50" s="5">
        <f t="shared" si="15"/>
        <v>0.58675378141090939</v>
      </c>
      <c r="Q50">
        <f t="shared" si="16"/>
        <v>2.77</v>
      </c>
      <c r="R50" s="2">
        <f t="shared" si="13"/>
        <v>5.55</v>
      </c>
      <c r="S50" s="27">
        <f t="shared" si="14"/>
        <v>100.36101083032491</v>
      </c>
      <c r="T50">
        <v>2.8</v>
      </c>
      <c r="U50">
        <v>2.25</v>
      </c>
      <c r="V50">
        <v>2.95</v>
      </c>
      <c r="W50">
        <v>2.78</v>
      </c>
      <c r="X50">
        <v>3.12</v>
      </c>
      <c r="Y50">
        <v>1.65</v>
      </c>
      <c r="Z50">
        <v>5.75</v>
      </c>
      <c r="AA50">
        <v>4.55</v>
      </c>
      <c r="AB50">
        <v>3.88</v>
      </c>
      <c r="AC50">
        <v>3.8</v>
      </c>
      <c r="AD50">
        <v>3.6</v>
      </c>
      <c r="AE50">
        <v>3.36</v>
      </c>
      <c r="AI50">
        <v>2.1800000000000002</v>
      </c>
      <c r="AJ50">
        <v>2.4700000000000002</v>
      </c>
      <c r="AK50">
        <v>2.41</v>
      </c>
      <c r="AL50">
        <v>2.82</v>
      </c>
      <c r="AM50">
        <v>3.05</v>
      </c>
      <c r="AN50">
        <v>1.61</v>
      </c>
      <c r="AO50">
        <v>5.44</v>
      </c>
      <c r="AP50">
        <v>4.5</v>
      </c>
      <c r="AQ50">
        <v>3.88</v>
      </c>
      <c r="AR50">
        <v>3.42</v>
      </c>
      <c r="AS50">
        <v>3.2</v>
      </c>
      <c r="AT50">
        <v>2.57</v>
      </c>
      <c r="AX50">
        <v>1.91</v>
      </c>
      <c r="AY50">
        <v>2.11</v>
      </c>
      <c r="AZ50">
        <v>2.6</v>
      </c>
      <c r="BA50">
        <v>2.2999999999999998</v>
      </c>
      <c r="BB50">
        <v>2.61</v>
      </c>
      <c r="BC50">
        <v>1.81</v>
      </c>
      <c r="BD50">
        <v>5.62</v>
      </c>
      <c r="BE50">
        <v>3.7</v>
      </c>
      <c r="BF50">
        <v>3.38</v>
      </c>
      <c r="BG50">
        <v>2.77</v>
      </c>
      <c r="BH50">
        <v>3.02</v>
      </c>
      <c r="BI50">
        <v>3.34</v>
      </c>
    </row>
    <row r="51" spans="1:66" x14ac:dyDescent="0.25">
      <c r="A51" s="68"/>
      <c r="B51" s="3"/>
      <c r="P51" s="31" t="s">
        <v>110</v>
      </c>
      <c r="Q51" s="29">
        <f>AVERAGE(Q40:Q50)</f>
        <v>2.2845454545454547</v>
      </c>
      <c r="R51" s="30">
        <f>AVERAGE(R42:R50)</f>
        <v>4.4544444444444444</v>
      </c>
      <c r="S51" s="29">
        <f>AVERAGE(S40:S50)</f>
        <v>86.042319052871207</v>
      </c>
    </row>
    <row r="52" spans="1:66" x14ac:dyDescent="0.25">
      <c r="A52" s="68"/>
      <c r="B52" s="3"/>
      <c r="P52" s="31" t="s">
        <v>111</v>
      </c>
      <c r="Q52" s="29">
        <f>STDEVA(Q40:Q50)</f>
        <v>0.5558842260104826</v>
      </c>
      <c r="R52" s="29">
        <f>STDEVA(R42:R50)</f>
        <v>0.83067910638090925</v>
      </c>
      <c r="S52" s="29">
        <f>STDEVA(S40:S50)</f>
        <v>31.177820575651687</v>
      </c>
    </row>
    <row r="53" spans="1:66" ht="16.5" thickBot="1" x14ac:dyDescent="0.3">
      <c r="A53" s="64"/>
      <c r="B53" s="3"/>
      <c r="P53" s="31" t="s">
        <v>112</v>
      </c>
      <c r="Q53" s="32">
        <f>Q52/Q51</f>
        <v>0.24332377581039827</v>
      </c>
      <c r="R53" s="32">
        <f>R52/R51</f>
        <v>0.18648321170935853</v>
      </c>
      <c r="S53" s="32">
        <f>S52/S51</f>
        <v>0.36235448926584102</v>
      </c>
    </row>
    <row r="54" spans="1:66" x14ac:dyDescent="0.25">
      <c r="A54" s="4"/>
      <c r="B54" s="3"/>
      <c r="N54" s="9"/>
      <c r="O54" s="8" t="s">
        <v>113</v>
      </c>
      <c r="P54" s="10">
        <v>5</v>
      </c>
      <c r="Q54" s="15" t="s">
        <v>114</v>
      </c>
      <c r="R54" s="16"/>
      <c r="S54" s="16"/>
      <c r="T54" s="16"/>
      <c r="U54" s="17"/>
      <c r="AC54" s="9"/>
      <c r="AD54" s="9"/>
      <c r="AE54" s="8" t="s">
        <v>113</v>
      </c>
      <c r="AF54" s="10">
        <v>5</v>
      </c>
      <c r="AG54" s="15" t="s">
        <v>114</v>
      </c>
      <c r="AH54" s="16"/>
      <c r="AI54" s="11"/>
      <c r="AJ54" s="12"/>
      <c r="AR54" s="9"/>
      <c r="AS54" s="9"/>
      <c r="AT54" s="8" t="s">
        <v>113</v>
      </c>
      <c r="AU54" s="10">
        <v>5</v>
      </c>
      <c r="AV54" s="15" t="s">
        <v>114</v>
      </c>
      <c r="AW54" s="16"/>
      <c r="AX54" s="11"/>
      <c r="AY54" s="12"/>
      <c r="BG54" s="9"/>
      <c r="BH54" s="9"/>
      <c r="BI54" s="8" t="s">
        <v>113</v>
      </c>
      <c r="BJ54" s="10">
        <v>5</v>
      </c>
      <c r="BK54" s="15" t="s">
        <v>114</v>
      </c>
      <c r="BL54" s="16"/>
      <c r="BM54" s="11"/>
      <c r="BN54" s="12"/>
    </row>
    <row r="55" spans="1:66" ht="16.5" thickBot="1" x14ac:dyDescent="0.3">
      <c r="A55" s="4"/>
      <c r="B55" s="3"/>
      <c r="N55" s="9"/>
      <c r="O55" s="8" t="s">
        <v>115</v>
      </c>
      <c r="P55" s="10">
        <v>11</v>
      </c>
      <c r="Q55" s="18" t="s">
        <v>114</v>
      </c>
      <c r="R55" s="13"/>
      <c r="S55" s="13"/>
      <c r="T55" s="13"/>
      <c r="U55" s="14"/>
      <c r="AC55" s="9"/>
      <c r="AD55" s="9"/>
      <c r="AE55" s="8" t="s">
        <v>115</v>
      </c>
      <c r="AF55" s="10">
        <v>10</v>
      </c>
      <c r="AG55" s="18" t="s">
        <v>114</v>
      </c>
      <c r="AH55" s="13"/>
      <c r="AI55" s="13"/>
      <c r="AJ55" s="14"/>
      <c r="AR55" s="9"/>
      <c r="AS55" s="9"/>
      <c r="AT55" s="8" t="s">
        <v>115</v>
      </c>
      <c r="AU55" s="10">
        <v>10</v>
      </c>
      <c r="AV55" s="18" t="s">
        <v>114</v>
      </c>
      <c r="AW55" s="13"/>
      <c r="AX55" s="13"/>
      <c r="AY55" s="14"/>
      <c r="BG55" s="9"/>
      <c r="BH55" s="9"/>
      <c r="BI55" s="8" t="s">
        <v>115</v>
      </c>
      <c r="BJ55" s="10">
        <v>10</v>
      </c>
      <c r="BK55" s="18" t="s">
        <v>114</v>
      </c>
      <c r="BL55" s="13"/>
      <c r="BM55" s="13"/>
      <c r="BN55" s="14"/>
    </row>
    <row r="56" spans="1:66" x14ac:dyDescent="0.25">
      <c r="A56" s="4"/>
      <c r="B56" s="3"/>
      <c r="O56" s="2" t="s">
        <v>116</v>
      </c>
      <c r="P56" s="27">
        <f>SQRT(AVERAGE(P40:P53))</f>
        <v>0.50822264555607732</v>
      </c>
      <c r="AE56" s="2" t="s">
        <v>116</v>
      </c>
      <c r="AF56" s="5" t="e">
        <f>SQRT(AVERAGE(AF44:AF53))</f>
        <v>#DIV/0!</v>
      </c>
      <c r="AT56" s="2" t="s">
        <v>116</v>
      </c>
      <c r="AU56" s="5" t="e">
        <f>SQRT(AVERAGE(AU44:AU53))</f>
        <v>#DIV/0!</v>
      </c>
      <c r="BI56" s="2" t="s">
        <v>116</v>
      </c>
      <c r="BJ56" s="5" t="e">
        <f>SQRT(AVERAGE(BJ44:BJ53))</f>
        <v>#DIV/0!</v>
      </c>
    </row>
    <row r="57" spans="1:66" x14ac:dyDescent="0.25">
      <c r="A57" s="4"/>
      <c r="B57" s="3"/>
      <c r="O57" s="2" t="s">
        <v>117</v>
      </c>
      <c r="P57" s="27">
        <f>2.77*P56</f>
        <v>1.4077767281903342</v>
      </c>
      <c r="AE57" s="2" t="s">
        <v>117</v>
      </c>
      <c r="AF57" s="5" t="e">
        <f>2.77*AF56</f>
        <v>#DIV/0!</v>
      </c>
      <c r="AT57" s="2" t="s">
        <v>117</v>
      </c>
      <c r="AU57" s="5" t="e">
        <f>2.77*AU56</f>
        <v>#DIV/0!</v>
      </c>
      <c r="BI57" s="2" t="s">
        <v>117</v>
      </c>
      <c r="BJ57" s="5" t="e">
        <f>2.77*BJ56</f>
        <v>#DIV/0!</v>
      </c>
    </row>
    <row r="58" spans="1:66" x14ac:dyDescent="0.25">
      <c r="A58" s="4"/>
      <c r="B58" s="3"/>
      <c r="O58" s="2" t="s">
        <v>118</v>
      </c>
      <c r="P58" s="27">
        <f>P57-(1.96*(P56/(SQRT(2*P55*(P54-1)))))</f>
        <v>1.3015903647316489</v>
      </c>
      <c r="AE58" s="2" t="s">
        <v>118</v>
      </c>
      <c r="AF58" s="5" t="e">
        <f>AF57-(1.96*(AF56/(SQRT(2*AF55*(AF54-1)))))</f>
        <v>#DIV/0!</v>
      </c>
      <c r="AT58" s="2" t="s">
        <v>118</v>
      </c>
      <c r="AU58" s="5" t="e">
        <f>AU57-(1.96*(AU56/(SQRT(2*AU55*(AU54-1)))))</f>
        <v>#DIV/0!</v>
      </c>
      <c r="BI58" s="2" t="s">
        <v>118</v>
      </c>
      <c r="BJ58" s="5" t="e">
        <f>BJ57-(1.96*(BJ56/(SQRT(2*BJ55*(BJ54-1)))))</f>
        <v>#DIV/0!</v>
      </c>
    </row>
    <row r="59" spans="1:66" x14ac:dyDescent="0.25">
      <c r="A59" s="4"/>
      <c r="B59" s="3"/>
      <c r="O59" s="2" t="s">
        <v>119</v>
      </c>
      <c r="P59" s="27">
        <f>P57+(1.96*(P56/(SQRT(2*P55*(P54-1)))))</f>
        <v>1.5139630916490194</v>
      </c>
      <c r="AE59" s="2" t="s">
        <v>119</v>
      </c>
      <c r="AF59" s="5" t="e">
        <f>AF57+(1.96*(AF56/(SQRT(2*AF55*(AF54-1)))))</f>
        <v>#DIV/0!</v>
      </c>
      <c r="AT59" s="2" t="s">
        <v>119</v>
      </c>
      <c r="AU59" s="5" t="e">
        <f>AU57+(1.96*(AU56/(SQRT(2*AU55*(AU54-1)))))</f>
        <v>#DIV/0!</v>
      </c>
      <c r="BI59" s="2" t="s">
        <v>119</v>
      </c>
      <c r="BJ59" s="5" t="e">
        <f>BJ57+(1.96*(BJ56/(SQRT(2*BJ55*(BJ54-1)))))</f>
        <v>#DIV/0!</v>
      </c>
    </row>
    <row r="60" spans="1:66" s="40" customFormat="1" x14ac:dyDescent="0.25">
      <c r="A60" s="41"/>
      <c r="B60" s="39"/>
      <c r="O60" s="42"/>
      <c r="P60" s="43"/>
      <c r="AE60" s="42"/>
      <c r="AF60" s="43"/>
      <c r="AT60" s="42"/>
      <c r="AU60" s="43"/>
      <c r="BI60" s="42"/>
      <c r="BJ60" s="43"/>
    </row>
    <row r="61" spans="1:66" x14ac:dyDescent="0.25">
      <c r="A61" s="73" t="s">
        <v>140</v>
      </c>
      <c r="B61" s="3" t="s">
        <v>100</v>
      </c>
      <c r="C61" s="21" t="s">
        <v>141</v>
      </c>
      <c r="D61">
        <v>1.94</v>
      </c>
      <c r="E61">
        <v>1.86</v>
      </c>
      <c r="F61">
        <v>2.39</v>
      </c>
      <c r="G61">
        <v>2.2599999999999998</v>
      </c>
      <c r="H61">
        <v>3.39</v>
      </c>
      <c r="I61">
        <v>1.1399999999999999</v>
      </c>
      <c r="J61">
        <v>4.0999999999999996</v>
      </c>
      <c r="K61">
        <v>4.25</v>
      </c>
      <c r="L61">
        <v>3.72</v>
      </c>
      <c r="M61">
        <v>3.23</v>
      </c>
      <c r="P61" s="5">
        <f t="shared" ref="P61" si="17">IFERROR(STDEVA(D61:H61),#N/A)</f>
        <v>0.61193953949716351</v>
      </c>
      <c r="Q61">
        <f t="shared" ref="Q61" si="18">MEDIAN(D61:H61)</f>
        <v>2.2599999999999998</v>
      </c>
      <c r="R61" s="2">
        <f t="shared" ref="R61:R70" si="19">MAX(J61:O61)</f>
        <v>4.25</v>
      </c>
      <c r="S61" s="27">
        <f t="shared" ref="S61:S70" si="20">100*(R61-Q61)/Q61</f>
        <v>88.05309734513277</v>
      </c>
    </row>
    <row r="62" spans="1:66" x14ac:dyDescent="0.25">
      <c r="A62" s="73"/>
      <c r="B62" s="3" t="s">
        <v>100</v>
      </c>
      <c r="C62" s="21" t="s">
        <v>142</v>
      </c>
      <c r="D62">
        <v>1.61</v>
      </c>
      <c r="E62">
        <v>2.2200000000000002</v>
      </c>
      <c r="F62">
        <v>1.62</v>
      </c>
      <c r="G62">
        <v>1.2</v>
      </c>
      <c r="H62">
        <v>1.32</v>
      </c>
      <c r="I62">
        <v>1.06</v>
      </c>
      <c r="J62">
        <v>3.53</v>
      </c>
      <c r="K62">
        <v>3.75</v>
      </c>
      <c r="L62">
        <v>4.07</v>
      </c>
      <c r="M62">
        <v>4.12</v>
      </c>
      <c r="P62" s="5">
        <f t="shared" ref="P62:P70" si="21">IFERROR(STDEVA(D62:H62),#N/A)</f>
        <v>0.39468975157710845</v>
      </c>
      <c r="Q62">
        <f t="shared" ref="Q62:Q70" si="22">MEDIAN(D62:H62)</f>
        <v>1.61</v>
      </c>
      <c r="R62" s="2">
        <f t="shared" si="19"/>
        <v>4.12</v>
      </c>
      <c r="S62" s="27">
        <f t="shared" si="20"/>
        <v>155.9006211180124</v>
      </c>
    </row>
    <row r="63" spans="1:66" x14ac:dyDescent="0.25">
      <c r="A63" s="73"/>
      <c r="B63" s="3" t="s">
        <v>100</v>
      </c>
      <c r="C63" s="21" t="s">
        <v>143</v>
      </c>
      <c r="D63">
        <v>1.88</v>
      </c>
      <c r="E63">
        <v>1.87</v>
      </c>
      <c r="F63">
        <v>1.99</v>
      </c>
      <c r="G63">
        <v>2.06</v>
      </c>
      <c r="H63">
        <v>2.1</v>
      </c>
      <c r="I63">
        <v>0.79</v>
      </c>
      <c r="J63">
        <v>3.04</v>
      </c>
      <c r="K63">
        <v>2.5499999999999998</v>
      </c>
      <c r="L63">
        <v>2.27</v>
      </c>
      <c r="M63">
        <v>1.97</v>
      </c>
      <c r="P63" s="5">
        <f t="shared" si="21"/>
        <v>0.10368220676663864</v>
      </c>
      <c r="Q63">
        <f t="shared" si="22"/>
        <v>1.99</v>
      </c>
      <c r="R63" s="2">
        <f t="shared" si="19"/>
        <v>3.04</v>
      </c>
      <c r="S63" s="27">
        <f t="shared" si="20"/>
        <v>52.763819095477388</v>
      </c>
    </row>
    <row r="64" spans="1:66" x14ac:dyDescent="0.25">
      <c r="A64" s="73"/>
      <c r="B64" s="3" t="s">
        <v>100</v>
      </c>
      <c r="C64" s="21" t="s">
        <v>144</v>
      </c>
      <c r="D64">
        <v>4.25</v>
      </c>
      <c r="E64">
        <v>3.99</v>
      </c>
      <c r="F64">
        <v>3.74</v>
      </c>
      <c r="G64">
        <v>3.49</v>
      </c>
      <c r="H64">
        <v>2.2400000000000002</v>
      </c>
      <c r="I64">
        <v>6</v>
      </c>
      <c r="J64">
        <v>4.5599999999999996</v>
      </c>
      <c r="K64">
        <v>3.65</v>
      </c>
      <c r="L64">
        <v>3.4</v>
      </c>
      <c r="M64">
        <v>3.07</v>
      </c>
      <c r="N64">
        <v>3.5</v>
      </c>
      <c r="P64" s="5">
        <f t="shared" si="21"/>
        <v>0.78087771129671724</v>
      </c>
      <c r="Q64">
        <f t="shared" si="22"/>
        <v>3.74</v>
      </c>
      <c r="R64" s="2">
        <f t="shared" si="19"/>
        <v>4.5599999999999996</v>
      </c>
      <c r="S64" s="27">
        <f t="shared" si="20"/>
        <v>21.925133689839555</v>
      </c>
    </row>
    <row r="65" spans="1:66" x14ac:dyDescent="0.25">
      <c r="A65" s="73"/>
      <c r="B65" s="3" t="s">
        <v>100</v>
      </c>
      <c r="C65" s="21" t="s">
        <v>145</v>
      </c>
      <c r="D65">
        <v>1.84</v>
      </c>
      <c r="E65">
        <v>1.79</v>
      </c>
      <c r="F65">
        <v>1.79</v>
      </c>
      <c r="G65">
        <v>1.65</v>
      </c>
      <c r="H65">
        <v>1.83</v>
      </c>
      <c r="I65">
        <v>1.99</v>
      </c>
      <c r="J65">
        <v>1.1200000000000001</v>
      </c>
      <c r="K65">
        <v>2.88</v>
      </c>
      <c r="L65">
        <v>1.98</v>
      </c>
      <c r="M65">
        <v>1.77</v>
      </c>
      <c r="N65">
        <v>1.52</v>
      </c>
      <c r="O65">
        <v>0.92</v>
      </c>
      <c r="P65" s="5">
        <f t="shared" si="21"/>
        <v>7.6157731058639155E-2</v>
      </c>
      <c r="Q65">
        <f t="shared" si="22"/>
        <v>1.79</v>
      </c>
      <c r="R65" s="2">
        <f t="shared" si="19"/>
        <v>2.88</v>
      </c>
      <c r="S65" s="27">
        <f t="shared" si="20"/>
        <v>60.893854748603346</v>
      </c>
      <c r="T65">
        <v>2.38</v>
      </c>
      <c r="U65">
        <v>1.81</v>
      </c>
      <c r="V65">
        <v>1.98</v>
      </c>
      <c r="W65">
        <v>2.2200000000000002</v>
      </c>
      <c r="X65">
        <v>1.7</v>
      </c>
      <c r="Y65">
        <v>2.11</v>
      </c>
      <c r="Z65">
        <v>3.48</v>
      </c>
      <c r="AA65">
        <v>3.41</v>
      </c>
      <c r="AB65">
        <v>3.16</v>
      </c>
      <c r="AC65">
        <v>2.64</v>
      </c>
      <c r="AD65">
        <v>2.77</v>
      </c>
      <c r="AE65">
        <v>2.89</v>
      </c>
      <c r="AI65">
        <v>2.5099999999999998</v>
      </c>
      <c r="AJ65">
        <v>1.83</v>
      </c>
      <c r="AK65">
        <v>2.11</v>
      </c>
      <c r="AL65">
        <v>2.91</v>
      </c>
      <c r="AM65">
        <v>2.71</v>
      </c>
      <c r="AN65">
        <v>1.54</v>
      </c>
      <c r="AO65">
        <v>4.26</v>
      </c>
      <c r="AP65">
        <v>4.2300000000000004</v>
      </c>
      <c r="AQ65">
        <v>3.32</v>
      </c>
      <c r="AR65">
        <v>2.91</v>
      </c>
      <c r="AS65">
        <v>3.1</v>
      </c>
      <c r="AT65">
        <v>2.7</v>
      </c>
      <c r="AX65">
        <v>2.87</v>
      </c>
      <c r="AY65">
        <v>2.79</v>
      </c>
      <c r="AZ65">
        <v>2.96</v>
      </c>
      <c r="BA65">
        <v>3.68</v>
      </c>
      <c r="BB65">
        <v>3.06</v>
      </c>
      <c r="BC65">
        <v>2.64</v>
      </c>
      <c r="BD65">
        <v>4.4400000000000004</v>
      </c>
      <c r="BE65">
        <v>4.7300000000000004</v>
      </c>
      <c r="BF65">
        <v>4.29</v>
      </c>
      <c r="BG65">
        <v>4.1100000000000003</v>
      </c>
      <c r="BH65">
        <v>3.67</v>
      </c>
      <c r="BI65">
        <v>3.55</v>
      </c>
    </row>
    <row r="66" spans="1:66" x14ac:dyDescent="0.25">
      <c r="A66" s="73"/>
      <c r="B66" s="3" t="s">
        <v>100</v>
      </c>
      <c r="C66" s="21" t="s">
        <v>146</v>
      </c>
      <c r="D66">
        <v>2.2599999999999998</v>
      </c>
      <c r="E66">
        <v>2.2999999999999998</v>
      </c>
      <c r="F66">
        <v>1.96</v>
      </c>
      <c r="G66">
        <v>2.35</v>
      </c>
      <c r="H66">
        <v>2.2599999999999998</v>
      </c>
      <c r="I66">
        <v>1.55</v>
      </c>
      <c r="J66">
        <v>4.07</v>
      </c>
      <c r="K66">
        <v>2.4900000000000002</v>
      </c>
      <c r="L66">
        <v>1.95</v>
      </c>
      <c r="M66">
        <v>2.44</v>
      </c>
      <c r="N66">
        <v>2.48</v>
      </c>
      <c r="O66">
        <v>2.2200000000000002</v>
      </c>
      <c r="P66" s="5">
        <f t="shared" si="21"/>
        <v>0.15323185047502363</v>
      </c>
      <c r="Q66">
        <f t="shared" si="22"/>
        <v>2.2599999999999998</v>
      </c>
      <c r="R66" s="2">
        <f t="shared" si="19"/>
        <v>4.07</v>
      </c>
      <c r="S66" s="27">
        <f t="shared" si="20"/>
        <v>80.088495575221273</v>
      </c>
    </row>
    <row r="67" spans="1:66" x14ac:dyDescent="0.25">
      <c r="A67" s="73"/>
      <c r="B67" s="3" t="s">
        <v>100</v>
      </c>
      <c r="C67" s="21" t="s">
        <v>147</v>
      </c>
      <c r="D67">
        <v>2.71</v>
      </c>
      <c r="E67">
        <v>2.16</v>
      </c>
      <c r="F67">
        <v>2.31</v>
      </c>
      <c r="G67">
        <v>2.2999999999999998</v>
      </c>
      <c r="H67">
        <v>2.61</v>
      </c>
      <c r="I67">
        <v>2.37</v>
      </c>
      <c r="J67">
        <v>4.51</v>
      </c>
      <c r="K67">
        <v>3.22</v>
      </c>
      <c r="L67">
        <v>2.62</v>
      </c>
      <c r="M67">
        <v>2.88</v>
      </c>
      <c r="N67">
        <v>2.95</v>
      </c>
      <c r="O67">
        <v>2.99</v>
      </c>
      <c r="P67" s="5">
        <f t="shared" si="21"/>
        <v>0.2314519388555645</v>
      </c>
      <c r="Q67">
        <f t="shared" si="22"/>
        <v>2.31</v>
      </c>
      <c r="R67" s="2">
        <f t="shared" si="19"/>
        <v>4.51</v>
      </c>
      <c r="S67" s="27">
        <f t="shared" si="20"/>
        <v>95.238095238095227</v>
      </c>
    </row>
    <row r="68" spans="1:66" x14ac:dyDescent="0.25">
      <c r="A68" s="73"/>
      <c r="B68" s="3" t="s">
        <v>100</v>
      </c>
      <c r="C68" s="21" t="s">
        <v>148</v>
      </c>
      <c r="D68">
        <v>1.67</v>
      </c>
      <c r="E68">
        <v>1.74</v>
      </c>
      <c r="F68">
        <v>2.4900000000000002</v>
      </c>
      <c r="G68">
        <v>3.1</v>
      </c>
      <c r="H68">
        <v>2.2000000000000002</v>
      </c>
      <c r="I68">
        <v>2.38</v>
      </c>
      <c r="J68">
        <v>5.0599999999999996</v>
      </c>
      <c r="K68">
        <v>3.62</v>
      </c>
      <c r="L68">
        <v>2.68</v>
      </c>
      <c r="M68">
        <v>2.5099999999999998</v>
      </c>
      <c r="N68">
        <v>2.5</v>
      </c>
      <c r="O68">
        <v>2.52</v>
      </c>
      <c r="P68" s="5">
        <f t="shared" si="21"/>
        <v>0.58706899083497965</v>
      </c>
      <c r="Q68">
        <f t="shared" si="22"/>
        <v>2.2000000000000002</v>
      </c>
      <c r="R68" s="2">
        <f t="shared" si="19"/>
        <v>5.0599999999999996</v>
      </c>
      <c r="S68" s="27">
        <f t="shared" si="20"/>
        <v>129.99999999999997</v>
      </c>
      <c r="T68">
        <v>2.41</v>
      </c>
      <c r="U68">
        <v>2.7</v>
      </c>
      <c r="V68">
        <v>2.56</v>
      </c>
      <c r="W68">
        <v>2.68</v>
      </c>
      <c r="X68">
        <v>2.56</v>
      </c>
      <c r="Y68">
        <v>2.62</v>
      </c>
      <c r="Z68">
        <v>5.57</v>
      </c>
      <c r="AA68">
        <v>3.64</v>
      </c>
      <c r="AB68">
        <v>3.67</v>
      </c>
      <c r="AC68">
        <v>3.35</v>
      </c>
      <c r="AD68">
        <v>3.13</v>
      </c>
      <c r="AE68">
        <v>3.45</v>
      </c>
      <c r="AI68">
        <v>2.94</v>
      </c>
      <c r="AJ68">
        <v>2.83</v>
      </c>
      <c r="AK68">
        <v>3.14</v>
      </c>
      <c r="AL68">
        <v>3.15</v>
      </c>
      <c r="AM68">
        <v>3.22</v>
      </c>
      <c r="AN68">
        <v>2.36</v>
      </c>
      <c r="AO68">
        <v>4.54</v>
      </c>
      <c r="AP68">
        <v>3.71</v>
      </c>
      <c r="AQ68">
        <v>3.45</v>
      </c>
      <c r="AR68">
        <v>3.37</v>
      </c>
      <c r="AS68">
        <v>3.43</v>
      </c>
      <c r="AT68">
        <v>3.24</v>
      </c>
      <c r="AX68">
        <v>3.43</v>
      </c>
      <c r="AY68">
        <v>3.24</v>
      </c>
      <c r="AZ68">
        <v>1.9</v>
      </c>
      <c r="BA68">
        <v>2.36</v>
      </c>
      <c r="BB68">
        <v>2.33</v>
      </c>
      <c r="BC68">
        <v>2.46</v>
      </c>
      <c r="BD68">
        <v>3.97</v>
      </c>
      <c r="BE68">
        <v>3.52</v>
      </c>
      <c r="BF68">
        <v>2.72</v>
      </c>
      <c r="BG68">
        <v>2.42</v>
      </c>
      <c r="BH68">
        <v>2.3199999999999998</v>
      </c>
      <c r="BI68">
        <v>2.71</v>
      </c>
    </row>
    <row r="69" spans="1:66" x14ac:dyDescent="0.25">
      <c r="A69" s="73"/>
      <c r="B69" s="3" t="s">
        <v>100</v>
      </c>
      <c r="C69" s="21" t="s">
        <v>149</v>
      </c>
      <c r="D69">
        <v>2.82</v>
      </c>
      <c r="E69">
        <v>3.22</v>
      </c>
      <c r="F69">
        <v>3.22</v>
      </c>
      <c r="G69">
        <v>3.44</v>
      </c>
      <c r="H69">
        <v>3.56</v>
      </c>
      <c r="I69">
        <v>1.66</v>
      </c>
      <c r="J69">
        <v>5.0999999999999996</v>
      </c>
      <c r="K69">
        <v>4.75</v>
      </c>
      <c r="L69">
        <v>4.28</v>
      </c>
      <c r="M69">
        <v>3.83</v>
      </c>
      <c r="N69">
        <v>3.35</v>
      </c>
      <c r="O69">
        <v>3.05</v>
      </c>
      <c r="P69" s="5">
        <f t="shared" si="21"/>
        <v>0.28234730386529289</v>
      </c>
      <c r="Q69">
        <f t="shared" si="22"/>
        <v>3.22</v>
      </c>
      <c r="R69" s="2">
        <f t="shared" si="19"/>
        <v>5.0999999999999996</v>
      </c>
      <c r="S69" s="27">
        <f t="shared" si="20"/>
        <v>58.385093167701839</v>
      </c>
      <c r="T69">
        <v>2.72</v>
      </c>
      <c r="U69">
        <v>2.68</v>
      </c>
      <c r="V69">
        <v>2.97</v>
      </c>
      <c r="W69">
        <v>2.89</v>
      </c>
      <c r="X69">
        <v>2.66</v>
      </c>
      <c r="Y69">
        <v>1.6</v>
      </c>
      <c r="Z69">
        <v>5.37</v>
      </c>
      <c r="AA69">
        <v>4.72</v>
      </c>
      <c r="AB69">
        <v>4.2300000000000004</v>
      </c>
      <c r="AC69">
        <v>3.15</v>
      </c>
      <c r="AD69">
        <v>3.05</v>
      </c>
      <c r="AE69">
        <v>2.76</v>
      </c>
    </row>
    <row r="70" spans="1:66" x14ac:dyDescent="0.25">
      <c r="A70" s="73"/>
      <c r="B70" s="3" t="s">
        <v>100</v>
      </c>
      <c r="C70" s="21" t="s">
        <v>150</v>
      </c>
      <c r="E70">
        <v>2.68</v>
      </c>
      <c r="F70">
        <v>2.5299999999999998</v>
      </c>
      <c r="G70">
        <v>2.31</v>
      </c>
      <c r="H70">
        <v>2.09</v>
      </c>
      <c r="I70">
        <v>2.2999999999999998</v>
      </c>
      <c r="J70">
        <v>3.55</v>
      </c>
      <c r="K70">
        <v>2.61</v>
      </c>
      <c r="L70">
        <v>2.86</v>
      </c>
      <c r="M70">
        <v>2.59</v>
      </c>
      <c r="N70">
        <v>2.74</v>
      </c>
      <c r="O70">
        <v>2.73</v>
      </c>
      <c r="P70" s="5">
        <f t="shared" si="21"/>
        <v>0.25785978101803064</v>
      </c>
      <c r="Q70">
        <f t="shared" si="22"/>
        <v>2.42</v>
      </c>
      <c r="R70" s="2">
        <f t="shared" si="19"/>
        <v>3.55</v>
      </c>
      <c r="S70" s="27">
        <f t="shared" si="20"/>
        <v>46.694214876033051</v>
      </c>
      <c r="T70">
        <v>2.34</v>
      </c>
      <c r="U70">
        <v>1.96</v>
      </c>
      <c r="V70">
        <v>2.0099999999999998</v>
      </c>
      <c r="W70">
        <v>2.14</v>
      </c>
      <c r="X70">
        <v>2.11</v>
      </c>
      <c r="Y70">
        <v>2.69</v>
      </c>
      <c r="Z70">
        <v>3.14</v>
      </c>
      <c r="AA70">
        <v>3.43</v>
      </c>
      <c r="AB70">
        <v>2.9</v>
      </c>
      <c r="AC70">
        <v>2.6</v>
      </c>
      <c r="AD70">
        <v>2.78</v>
      </c>
      <c r="AE70">
        <v>2.68</v>
      </c>
      <c r="AI70">
        <v>2.74</v>
      </c>
      <c r="AJ70">
        <v>2.88</v>
      </c>
      <c r="AK70">
        <v>3.44</v>
      </c>
      <c r="AL70">
        <v>3.24</v>
      </c>
      <c r="AM70">
        <v>3.95</v>
      </c>
      <c r="AN70">
        <v>2.46</v>
      </c>
      <c r="AO70">
        <v>5.63</v>
      </c>
      <c r="AP70">
        <v>3.4</v>
      </c>
      <c r="AQ70">
        <v>3.15</v>
      </c>
      <c r="AR70">
        <v>2.99</v>
      </c>
      <c r="AS70">
        <v>2.78</v>
      </c>
      <c r="AT70">
        <v>2.59</v>
      </c>
      <c r="AX70">
        <v>2.37</v>
      </c>
      <c r="AY70">
        <v>2.73</v>
      </c>
      <c r="AZ70">
        <v>2.78</v>
      </c>
      <c r="BA70">
        <v>2.71</v>
      </c>
      <c r="BB70">
        <v>2.62</v>
      </c>
      <c r="BC70">
        <v>2.61</v>
      </c>
      <c r="BD70">
        <v>5.07</v>
      </c>
      <c r="BE70">
        <v>3.77</v>
      </c>
      <c r="BF70">
        <v>3.26</v>
      </c>
      <c r="BG70">
        <v>3.11</v>
      </c>
      <c r="BH70">
        <v>3.14</v>
      </c>
      <c r="BI70">
        <v>3.01</v>
      </c>
    </row>
    <row r="71" spans="1:66" x14ac:dyDescent="0.25">
      <c r="A71" s="73"/>
      <c r="B71" s="3" t="s">
        <v>100</v>
      </c>
      <c r="P71" s="31" t="s">
        <v>110</v>
      </c>
      <c r="Q71" s="29">
        <f>AVERAGE(Q61:Q70)</f>
        <v>2.38</v>
      </c>
      <c r="R71" s="30">
        <f>AVERAGE(R62:R70)</f>
        <v>4.0988888888888884</v>
      </c>
      <c r="S71" s="29">
        <f>AVERAGE(S61:S70)</f>
        <v>78.994242485411675</v>
      </c>
    </row>
    <row r="72" spans="1:66" x14ac:dyDescent="0.25">
      <c r="A72" s="73"/>
      <c r="B72" s="3"/>
      <c r="P72" s="31" t="s">
        <v>111</v>
      </c>
      <c r="Q72" s="29">
        <f>STDEVA(Q61:Q70)</f>
        <v>0.6425643072011481</v>
      </c>
      <c r="R72" s="29">
        <f>STDEVA(R62:R70)</f>
        <v>0.80754944809040363</v>
      </c>
      <c r="S72" s="29">
        <f>STDEVA(S61:S70)</f>
        <v>40.282161081809974</v>
      </c>
    </row>
    <row r="73" spans="1:66" ht="16.5" thickBot="1" x14ac:dyDescent="0.3">
      <c r="A73" s="73"/>
      <c r="B73" s="3"/>
      <c r="P73" s="31" t="s">
        <v>112</v>
      </c>
      <c r="Q73" s="32">
        <f>Q72/Q71</f>
        <v>0.2699850030256925</v>
      </c>
      <c r="R73" s="32">
        <f>R72/R71</f>
        <v>0.19701667207410228</v>
      </c>
      <c r="S73" s="32">
        <f>S72/S71</f>
        <v>0.50993793742941596</v>
      </c>
    </row>
    <row r="74" spans="1:66" x14ac:dyDescent="0.25">
      <c r="A74" s="4"/>
      <c r="B74" s="3"/>
      <c r="N74" s="9"/>
      <c r="O74" s="8" t="s">
        <v>113</v>
      </c>
      <c r="P74" s="10">
        <v>5</v>
      </c>
      <c r="Q74" s="15" t="s">
        <v>114</v>
      </c>
      <c r="R74" s="16"/>
      <c r="S74" s="16"/>
      <c r="T74" s="16"/>
      <c r="U74" s="17"/>
      <c r="AC74" s="9"/>
      <c r="AD74" s="9"/>
      <c r="AE74" s="8" t="s">
        <v>113</v>
      </c>
      <c r="AF74" s="10">
        <v>5</v>
      </c>
      <c r="AG74" s="15" t="s">
        <v>114</v>
      </c>
      <c r="AH74" s="16"/>
      <c r="AI74" s="11"/>
      <c r="AJ74" s="12"/>
      <c r="AR74" s="9"/>
      <c r="AS74" s="9"/>
      <c r="AT74" s="8" t="s">
        <v>113</v>
      </c>
      <c r="AU74" s="10">
        <v>5</v>
      </c>
      <c r="AV74" s="15" t="s">
        <v>114</v>
      </c>
      <c r="AW74" s="16"/>
      <c r="AX74" s="11"/>
      <c r="AY74" s="12"/>
      <c r="BG74" s="9"/>
      <c r="BH74" s="9"/>
      <c r="BI74" s="8" t="s">
        <v>113</v>
      </c>
      <c r="BJ74" s="10">
        <v>5</v>
      </c>
      <c r="BK74" s="15" t="s">
        <v>114</v>
      </c>
      <c r="BL74" s="16"/>
      <c r="BM74" s="11"/>
      <c r="BN74" s="12"/>
    </row>
    <row r="75" spans="1:66" ht="16.5" thickBot="1" x14ac:dyDescent="0.3">
      <c r="A75" s="4"/>
      <c r="B75" s="3"/>
      <c r="N75" s="9"/>
      <c r="O75" s="8" t="s">
        <v>115</v>
      </c>
      <c r="P75" s="10">
        <v>10</v>
      </c>
      <c r="Q75" s="18" t="s">
        <v>114</v>
      </c>
      <c r="R75" s="13"/>
      <c r="S75" s="13"/>
      <c r="T75" s="13"/>
      <c r="U75" s="14"/>
      <c r="AC75" s="9"/>
      <c r="AD75" s="9"/>
      <c r="AE75" s="8" t="s">
        <v>115</v>
      </c>
      <c r="AF75" s="10">
        <v>10</v>
      </c>
      <c r="AG75" s="18" t="s">
        <v>114</v>
      </c>
      <c r="AH75" s="13"/>
      <c r="AI75" s="13"/>
      <c r="AJ75" s="14"/>
      <c r="AR75" s="9"/>
      <c r="AS75" s="9"/>
      <c r="AT75" s="8" t="s">
        <v>115</v>
      </c>
      <c r="AU75" s="10">
        <v>10</v>
      </c>
      <c r="AV75" s="18" t="s">
        <v>114</v>
      </c>
      <c r="AW75" s="13"/>
      <c r="AX75" s="13"/>
      <c r="AY75" s="14"/>
      <c r="BG75" s="9"/>
      <c r="BH75" s="9"/>
      <c r="BI75" s="8" t="s">
        <v>115</v>
      </c>
      <c r="BJ75" s="10">
        <v>10</v>
      </c>
      <c r="BK75" s="18" t="s">
        <v>114</v>
      </c>
      <c r="BL75" s="13"/>
      <c r="BM75" s="13"/>
      <c r="BN75" s="14"/>
    </row>
    <row r="76" spans="1:66" x14ac:dyDescent="0.25">
      <c r="A76" s="4"/>
      <c r="B76" s="3"/>
      <c r="O76" s="2" t="s">
        <v>116</v>
      </c>
      <c r="P76" s="5">
        <f>SQRT(AVERAGE(P61:P70))</f>
        <v>0.58985649146594621</v>
      </c>
      <c r="AE76" s="2" t="s">
        <v>116</v>
      </c>
      <c r="AF76" s="5" t="e">
        <f>SQRT(AVERAGE(AF61:AF72))</f>
        <v>#DIV/0!</v>
      </c>
      <c r="AT76" s="2" t="s">
        <v>116</v>
      </c>
      <c r="AU76" s="5" t="e">
        <f>SQRT(AVERAGE(AU61:AU72))</f>
        <v>#DIV/0!</v>
      </c>
      <c r="BI76" s="2" t="s">
        <v>116</v>
      </c>
      <c r="BJ76" s="5" t="e">
        <f>SQRT(AVERAGE(BJ61:BJ72))</f>
        <v>#DIV/0!</v>
      </c>
    </row>
    <row r="77" spans="1:66" x14ac:dyDescent="0.25">
      <c r="A77" s="4"/>
      <c r="B77" s="3"/>
      <c r="O77" s="2" t="s">
        <v>117</v>
      </c>
      <c r="P77" s="5">
        <f>2.77*P76</f>
        <v>1.6339024813606711</v>
      </c>
      <c r="AE77" s="2" t="s">
        <v>117</v>
      </c>
      <c r="AF77" s="5" t="e">
        <f>2.77*AF76</f>
        <v>#DIV/0!</v>
      </c>
      <c r="AT77" s="2" t="s">
        <v>117</v>
      </c>
      <c r="AU77" s="5" t="e">
        <f>2.77*AU76</f>
        <v>#DIV/0!</v>
      </c>
      <c r="BI77" s="2" t="s">
        <v>117</v>
      </c>
      <c r="BJ77" s="5" t="e">
        <f>2.77*BJ76</f>
        <v>#DIV/0!</v>
      </c>
    </row>
    <row r="78" spans="1:66" x14ac:dyDescent="0.25">
      <c r="A78" s="4"/>
      <c r="B78" s="3"/>
      <c r="O78" s="2" t="s">
        <v>118</v>
      </c>
      <c r="P78" s="5">
        <f>P77-(1.96*(P76/(SQRT(2*P75*(P74-1)))))</f>
        <v>1.5046444785957078</v>
      </c>
      <c r="AE78" s="2" t="s">
        <v>118</v>
      </c>
      <c r="AF78" s="5" t="e">
        <f>AF77-(1.96*(AF76/(SQRT(2*AF75*(AF74-1)))))</f>
        <v>#DIV/0!</v>
      </c>
      <c r="AT78" s="2" t="s">
        <v>118</v>
      </c>
      <c r="AU78" s="5" t="e">
        <f>AU77-(1.96*(AU76/(SQRT(2*AU75*(AU74-1)))))</f>
        <v>#DIV/0!</v>
      </c>
      <c r="BI78" s="2" t="s">
        <v>118</v>
      </c>
      <c r="BJ78" s="5" t="e">
        <f>BJ77-(1.96*(BJ76/(SQRT(2*BJ75*(BJ74-1)))))</f>
        <v>#DIV/0!</v>
      </c>
    </row>
    <row r="79" spans="1:66" x14ac:dyDescent="0.25">
      <c r="A79" s="4"/>
      <c r="B79" s="3"/>
      <c r="O79" s="2" t="s">
        <v>119</v>
      </c>
      <c r="P79" s="5">
        <f>P77+(1.96*(P76/(SQRT(2*P75*(P74-1)))))</f>
        <v>1.7631604841256343</v>
      </c>
      <c r="AE79" s="2" t="s">
        <v>119</v>
      </c>
      <c r="AF79" s="5" t="e">
        <f>AF77+(1.96*(AF76/(SQRT(2*AF75*(AF74-1)))))</f>
        <v>#DIV/0!</v>
      </c>
      <c r="AT79" s="2" t="s">
        <v>119</v>
      </c>
      <c r="AU79" s="5" t="e">
        <f>AU77+(1.96*(AU76/(SQRT(2*AU75*(AU74-1)))))</f>
        <v>#DIV/0!</v>
      </c>
      <c r="BI79" s="2" t="s">
        <v>119</v>
      </c>
      <c r="BJ79" s="5" t="e">
        <f>BJ77+(1.96*(BJ76/(SQRT(2*BJ75*(BJ74-1)))))</f>
        <v>#DIV/0!</v>
      </c>
    </row>
    <row r="80" spans="1:66" s="40" customFormat="1" x14ac:dyDescent="0.25">
      <c r="A80" s="41"/>
      <c r="B80" s="39"/>
      <c r="O80" s="42"/>
      <c r="P80" s="43"/>
      <c r="AE80" s="42"/>
      <c r="AF80" s="43"/>
      <c r="AT80" s="42"/>
      <c r="AU80" s="43"/>
      <c r="BI80" s="42"/>
      <c r="BJ80" s="43"/>
    </row>
    <row r="81" spans="1:66" x14ac:dyDescent="0.25">
      <c r="A81" s="68" t="s">
        <v>151</v>
      </c>
      <c r="B81" s="3" t="s">
        <v>100</v>
      </c>
      <c r="C81" s="21" t="s">
        <v>152</v>
      </c>
      <c r="D81">
        <v>2.1800000000000002</v>
      </c>
      <c r="E81">
        <v>2.4</v>
      </c>
      <c r="F81">
        <v>2.9</v>
      </c>
      <c r="G81">
        <v>2.67</v>
      </c>
      <c r="H81">
        <v>2.94</v>
      </c>
      <c r="I81">
        <v>0.86</v>
      </c>
      <c r="J81">
        <v>3.02</v>
      </c>
      <c r="K81">
        <v>3.33</v>
      </c>
      <c r="L81">
        <v>2.83</v>
      </c>
      <c r="M81">
        <v>2.5099999999999998</v>
      </c>
      <c r="P81" s="5">
        <f t="shared" ref="P81" si="23">IFERROR(STDEVA(D81:H81),#N/A)</f>
        <v>0.32606747767908439</v>
      </c>
      <c r="Q81">
        <f t="shared" ref="Q81" si="24">MEDIAN(D81:H81)</f>
        <v>2.67</v>
      </c>
      <c r="R81" s="2">
        <f t="shared" ref="R81:R93" si="25">MAX(J81:O81)</f>
        <v>3.33</v>
      </c>
      <c r="S81" s="27">
        <f t="shared" ref="S81:S93" si="26">100*(R81-Q81)/Q81</f>
        <v>24.719101123595511</v>
      </c>
    </row>
    <row r="82" spans="1:66" x14ac:dyDescent="0.25">
      <c r="A82" s="68"/>
      <c r="B82" s="3" t="s">
        <v>100</v>
      </c>
      <c r="C82" s="21" t="s">
        <v>153</v>
      </c>
      <c r="D82">
        <v>1.9</v>
      </c>
      <c r="E82">
        <v>1.63</v>
      </c>
      <c r="F82">
        <v>2.41</v>
      </c>
      <c r="G82">
        <v>2.1800000000000002</v>
      </c>
      <c r="H82">
        <v>2.4500000000000002</v>
      </c>
      <c r="I82">
        <v>2.08</v>
      </c>
      <c r="J82">
        <v>2.21</v>
      </c>
      <c r="K82">
        <v>2.19</v>
      </c>
      <c r="L82">
        <v>2.2200000000000002</v>
      </c>
      <c r="M82">
        <v>2.37</v>
      </c>
      <c r="N82">
        <v>2.11</v>
      </c>
      <c r="O82">
        <v>2.31</v>
      </c>
      <c r="P82" s="5">
        <f t="shared" ref="P82:P93" si="27">IFERROR(STDEVA(D82:H82),#N/A)</f>
        <v>0.34818098741890058</v>
      </c>
      <c r="Q82">
        <f t="shared" ref="Q82:Q93" si="28">MEDIAN(D82:H82)</f>
        <v>2.1800000000000002</v>
      </c>
      <c r="R82" s="2">
        <f t="shared" si="25"/>
        <v>2.37</v>
      </c>
      <c r="S82" s="27">
        <f t="shared" si="26"/>
        <v>8.7155963302752255</v>
      </c>
    </row>
    <row r="83" spans="1:66" x14ac:dyDescent="0.25">
      <c r="A83" s="68"/>
      <c r="B83" s="3" t="s">
        <v>100</v>
      </c>
      <c r="C83" s="21" t="s">
        <v>154</v>
      </c>
      <c r="D83">
        <v>2.02</v>
      </c>
      <c r="E83">
        <v>2</v>
      </c>
      <c r="F83">
        <v>1.99</v>
      </c>
      <c r="G83">
        <v>2.02</v>
      </c>
      <c r="H83">
        <v>1.45</v>
      </c>
      <c r="I83">
        <v>1.94</v>
      </c>
      <c r="J83">
        <v>3.48</v>
      </c>
      <c r="K83">
        <v>2.99</v>
      </c>
      <c r="L83">
        <v>2.8</v>
      </c>
      <c r="M83">
        <v>2.77</v>
      </c>
      <c r="N83">
        <v>2.63</v>
      </c>
      <c r="O83">
        <v>2.69</v>
      </c>
      <c r="P83" s="5">
        <f t="shared" si="27"/>
        <v>0.24965976848503643</v>
      </c>
      <c r="Q83">
        <f t="shared" si="28"/>
        <v>2</v>
      </c>
      <c r="R83" s="2">
        <f t="shared" si="25"/>
        <v>3.48</v>
      </c>
      <c r="S83" s="27">
        <f t="shared" si="26"/>
        <v>74</v>
      </c>
      <c r="T83">
        <v>1.67</v>
      </c>
      <c r="U83">
        <v>1.72</v>
      </c>
      <c r="V83">
        <v>1.85</v>
      </c>
      <c r="W83">
        <v>1.5</v>
      </c>
      <c r="X83">
        <v>1.98</v>
      </c>
      <c r="Y83">
        <v>1.64</v>
      </c>
      <c r="Z83">
        <v>2.16</v>
      </c>
      <c r="AA83">
        <v>3.38</v>
      </c>
      <c r="AB83">
        <v>2.09</v>
      </c>
      <c r="AC83">
        <v>1.85</v>
      </c>
      <c r="AD83">
        <v>1.52</v>
      </c>
      <c r="AE83">
        <v>2.08</v>
      </c>
      <c r="AI83">
        <v>2.86</v>
      </c>
      <c r="AJ83">
        <v>2.69</v>
      </c>
      <c r="AK83">
        <v>2.68</v>
      </c>
      <c r="AL83">
        <v>2.66</v>
      </c>
      <c r="AM83">
        <v>2.73</v>
      </c>
      <c r="AN83">
        <v>1.82</v>
      </c>
      <c r="AO83">
        <v>4.3099999999999996</v>
      </c>
      <c r="AP83">
        <v>3.41</v>
      </c>
      <c r="AQ83">
        <v>3.09</v>
      </c>
      <c r="AR83">
        <v>2.78</v>
      </c>
      <c r="AS83">
        <v>2.84</v>
      </c>
      <c r="AT83">
        <v>2.85</v>
      </c>
      <c r="AX83">
        <v>1.96</v>
      </c>
      <c r="AY83">
        <v>1.89</v>
      </c>
      <c r="AZ83">
        <v>2.7</v>
      </c>
      <c r="BA83">
        <v>2.21</v>
      </c>
      <c r="BB83">
        <v>2.15</v>
      </c>
      <c r="BC83">
        <v>1.7</v>
      </c>
      <c r="BD83">
        <v>3.2</v>
      </c>
      <c r="BE83">
        <v>3.64</v>
      </c>
      <c r="BF83">
        <v>2.71</v>
      </c>
      <c r="BG83">
        <v>2.74</v>
      </c>
      <c r="BH83">
        <v>2.76</v>
      </c>
      <c r="BI83">
        <v>3.07</v>
      </c>
    </row>
    <row r="84" spans="1:66" x14ac:dyDescent="0.25">
      <c r="A84" s="68"/>
      <c r="B84" s="3" t="s">
        <v>100</v>
      </c>
      <c r="C84" s="21" t="s">
        <v>155</v>
      </c>
      <c r="D84">
        <v>1.72</v>
      </c>
      <c r="E84">
        <v>2.2200000000000002</v>
      </c>
      <c r="F84">
        <v>2.31</v>
      </c>
      <c r="G84">
        <v>2.15</v>
      </c>
      <c r="H84">
        <v>2.23</v>
      </c>
      <c r="I84">
        <v>2.29</v>
      </c>
      <c r="J84">
        <v>5.23</v>
      </c>
      <c r="K84">
        <v>4.4000000000000004</v>
      </c>
      <c r="L84">
        <v>4.3</v>
      </c>
      <c r="M84">
        <v>3.93</v>
      </c>
      <c r="N84">
        <v>3.72</v>
      </c>
      <c r="O84">
        <v>3.32</v>
      </c>
      <c r="P84" s="5">
        <f t="shared" si="27"/>
        <v>0.23394443784796429</v>
      </c>
      <c r="Q84">
        <f t="shared" si="28"/>
        <v>2.2200000000000002</v>
      </c>
      <c r="R84" s="2">
        <f t="shared" si="25"/>
        <v>5.23</v>
      </c>
      <c r="S84" s="27">
        <f t="shared" si="26"/>
        <v>135.58558558558556</v>
      </c>
    </row>
    <row r="85" spans="1:66" x14ac:dyDescent="0.25">
      <c r="A85" s="68"/>
      <c r="B85" s="3" t="s">
        <v>100</v>
      </c>
      <c r="C85" s="21" t="s">
        <v>156</v>
      </c>
      <c r="D85">
        <v>1.59</v>
      </c>
      <c r="E85">
        <v>2.77</v>
      </c>
      <c r="F85">
        <v>3</v>
      </c>
      <c r="G85">
        <v>3.03</v>
      </c>
      <c r="H85">
        <v>2.96</v>
      </c>
      <c r="I85">
        <v>1.92</v>
      </c>
      <c r="J85">
        <v>4.78</v>
      </c>
      <c r="K85">
        <v>3.93</v>
      </c>
      <c r="L85">
        <v>3.75</v>
      </c>
      <c r="M85">
        <v>3.48</v>
      </c>
      <c r="N85">
        <v>3.36</v>
      </c>
      <c r="O85">
        <v>3.53</v>
      </c>
      <c r="P85" s="5">
        <f t="shared" si="27"/>
        <v>0.61216827751852576</v>
      </c>
      <c r="Q85">
        <f t="shared" si="28"/>
        <v>2.96</v>
      </c>
      <c r="R85" s="2">
        <f t="shared" si="25"/>
        <v>4.78</v>
      </c>
      <c r="S85" s="27">
        <f t="shared" si="26"/>
        <v>61.486486486486498</v>
      </c>
    </row>
    <row r="86" spans="1:66" x14ac:dyDescent="0.25">
      <c r="A86" s="68"/>
      <c r="B86" s="3" t="s">
        <v>100</v>
      </c>
      <c r="C86" s="21" t="s">
        <v>157</v>
      </c>
      <c r="D86">
        <v>1.93</v>
      </c>
      <c r="E86">
        <v>2.2400000000000002</v>
      </c>
      <c r="F86">
        <v>2.29</v>
      </c>
      <c r="G86">
        <v>2.35</v>
      </c>
      <c r="H86">
        <v>2.2799999999999998</v>
      </c>
      <c r="I86">
        <v>1.64</v>
      </c>
      <c r="J86">
        <v>2.84</v>
      </c>
      <c r="K86">
        <v>3.28</v>
      </c>
      <c r="L86">
        <v>2.42</v>
      </c>
      <c r="M86">
        <v>2.59</v>
      </c>
      <c r="N86">
        <v>2.27</v>
      </c>
      <c r="O86">
        <v>2.71</v>
      </c>
      <c r="P86" s="5">
        <f t="shared" si="27"/>
        <v>0.16574076143182165</v>
      </c>
      <c r="Q86">
        <f t="shared" si="28"/>
        <v>2.2799999999999998</v>
      </c>
      <c r="R86" s="2">
        <f t="shared" si="25"/>
        <v>3.28</v>
      </c>
      <c r="S86" s="27">
        <f t="shared" si="26"/>
        <v>43.859649122807021</v>
      </c>
    </row>
    <row r="87" spans="1:66" x14ac:dyDescent="0.25">
      <c r="A87" s="68"/>
      <c r="B87" s="3" t="s">
        <v>100</v>
      </c>
      <c r="C87" s="21" t="s">
        <v>158</v>
      </c>
      <c r="D87">
        <v>1.46</v>
      </c>
      <c r="E87">
        <v>2.48</v>
      </c>
      <c r="F87">
        <v>2.3199999999999998</v>
      </c>
      <c r="G87">
        <v>2.41</v>
      </c>
      <c r="H87">
        <v>2.5499999999999998</v>
      </c>
      <c r="I87">
        <v>2.29</v>
      </c>
      <c r="J87">
        <v>2.2000000000000002</v>
      </c>
      <c r="K87">
        <v>4.3499999999999996</v>
      </c>
      <c r="L87">
        <v>4.42</v>
      </c>
      <c r="M87">
        <v>3.06</v>
      </c>
      <c r="N87">
        <v>2.52</v>
      </c>
      <c r="O87">
        <v>2.29</v>
      </c>
      <c r="P87" s="5">
        <f t="shared" si="27"/>
        <v>0.44646388431764733</v>
      </c>
      <c r="Q87">
        <f t="shared" si="28"/>
        <v>2.41</v>
      </c>
      <c r="R87" s="2">
        <f t="shared" si="25"/>
        <v>4.42</v>
      </c>
      <c r="S87" s="27">
        <f t="shared" si="26"/>
        <v>83.402489626556005</v>
      </c>
    </row>
    <row r="88" spans="1:66" x14ac:dyDescent="0.25">
      <c r="A88" s="68"/>
      <c r="B88" s="3" t="s">
        <v>100</v>
      </c>
      <c r="C88" s="21" t="s">
        <v>159</v>
      </c>
      <c r="D88">
        <v>2.81</v>
      </c>
      <c r="E88">
        <v>3</v>
      </c>
      <c r="F88">
        <v>2.85</v>
      </c>
      <c r="G88">
        <v>2.86</v>
      </c>
      <c r="H88">
        <v>2.79</v>
      </c>
      <c r="I88">
        <v>1.95</v>
      </c>
      <c r="J88">
        <v>4.62</v>
      </c>
      <c r="K88">
        <v>4.41</v>
      </c>
      <c r="L88">
        <v>4</v>
      </c>
      <c r="M88">
        <v>3.46</v>
      </c>
      <c r="N88">
        <v>3.26</v>
      </c>
      <c r="O88">
        <v>3.08</v>
      </c>
      <c r="P88" s="5">
        <f t="shared" si="27"/>
        <v>8.2280009722896827E-2</v>
      </c>
      <c r="Q88">
        <f t="shared" si="28"/>
        <v>2.85</v>
      </c>
      <c r="R88" s="2">
        <f t="shared" si="25"/>
        <v>4.62</v>
      </c>
      <c r="S88" s="27">
        <f t="shared" si="26"/>
        <v>62.105263157894733</v>
      </c>
    </row>
    <row r="89" spans="1:66" x14ac:dyDescent="0.25">
      <c r="A89" s="68"/>
      <c r="B89" s="3" t="s">
        <v>100</v>
      </c>
      <c r="C89" s="21" t="s">
        <v>160</v>
      </c>
      <c r="D89">
        <v>1.52</v>
      </c>
      <c r="E89">
        <v>1.22</v>
      </c>
      <c r="F89">
        <v>1.48</v>
      </c>
      <c r="G89">
        <v>1.4</v>
      </c>
      <c r="H89">
        <v>1.5</v>
      </c>
      <c r="I89">
        <v>1.82</v>
      </c>
      <c r="J89">
        <v>2.23</v>
      </c>
      <c r="K89">
        <v>2.42</v>
      </c>
      <c r="L89">
        <v>2.2999999999999998</v>
      </c>
      <c r="M89">
        <v>2.33</v>
      </c>
      <c r="N89">
        <v>2.36</v>
      </c>
      <c r="O89">
        <v>2.41</v>
      </c>
      <c r="P89" s="5">
        <f t="shared" si="27"/>
        <v>0.12280065146407003</v>
      </c>
      <c r="Q89">
        <f t="shared" si="28"/>
        <v>1.48</v>
      </c>
      <c r="R89" s="2">
        <f t="shared" si="25"/>
        <v>2.42</v>
      </c>
      <c r="S89" s="27">
        <f t="shared" si="26"/>
        <v>63.513513513513516</v>
      </c>
    </row>
    <row r="90" spans="1:66" x14ac:dyDescent="0.25">
      <c r="A90" s="68"/>
      <c r="B90" s="3" t="s">
        <v>100</v>
      </c>
      <c r="C90" s="21" t="s">
        <v>161</v>
      </c>
      <c r="D90">
        <v>4.9400000000000004</v>
      </c>
      <c r="E90">
        <v>5.42</v>
      </c>
      <c r="F90">
        <v>4.8499999999999996</v>
      </c>
      <c r="G90">
        <v>5.03</v>
      </c>
      <c r="H90">
        <v>4.92</v>
      </c>
      <c r="I90">
        <v>2.4900000000000002</v>
      </c>
      <c r="J90">
        <v>2.89</v>
      </c>
      <c r="K90">
        <v>5.18</v>
      </c>
      <c r="L90">
        <v>4.0999999999999996</v>
      </c>
      <c r="M90">
        <v>3.55</v>
      </c>
      <c r="N90">
        <v>3.24</v>
      </c>
      <c r="O90">
        <v>3.12</v>
      </c>
      <c r="P90" s="5">
        <f t="shared" si="27"/>
        <v>0.22620786900547915</v>
      </c>
      <c r="Q90">
        <f t="shared" si="28"/>
        <v>4.9400000000000004</v>
      </c>
      <c r="R90" s="2">
        <f t="shared" si="25"/>
        <v>5.18</v>
      </c>
      <c r="S90" s="27">
        <f t="shared" si="26"/>
        <v>4.8582995951416867</v>
      </c>
    </row>
    <row r="91" spans="1:66" x14ac:dyDescent="0.25">
      <c r="A91" s="68"/>
      <c r="B91" s="3" t="s">
        <v>100</v>
      </c>
      <c r="C91" s="21" t="s">
        <v>162</v>
      </c>
      <c r="D91">
        <v>1.79</v>
      </c>
      <c r="E91">
        <v>1.53</v>
      </c>
      <c r="F91">
        <v>2.14</v>
      </c>
      <c r="G91">
        <v>2.48</v>
      </c>
      <c r="H91">
        <v>2.11</v>
      </c>
      <c r="I91">
        <v>2.06</v>
      </c>
      <c r="J91">
        <v>3.95</v>
      </c>
      <c r="K91">
        <v>2.5</v>
      </c>
      <c r="L91">
        <v>2.2200000000000002</v>
      </c>
      <c r="M91">
        <v>2.29</v>
      </c>
      <c r="N91">
        <v>2.17</v>
      </c>
      <c r="O91">
        <v>2.15</v>
      </c>
      <c r="P91" s="5">
        <f t="shared" si="27"/>
        <v>0.36283605113053419</v>
      </c>
      <c r="Q91">
        <f t="shared" si="28"/>
        <v>2.11</v>
      </c>
      <c r="R91" s="2">
        <f t="shared" si="25"/>
        <v>3.95</v>
      </c>
      <c r="S91" s="27">
        <f t="shared" si="26"/>
        <v>87.203791469194329</v>
      </c>
    </row>
    <row r="92" spans="1:66" ht="16.5" thickBot="1" x14ac:dyDescent="0.3">
      <c r="A92" s="68"/>
      <c r="B92" s="3" t="s">
        <v>100</v>
      </c>
      <c r="C92" s="21" t="s">
        <v>163</v>
      </c>
      <c r="D92">
        <v>3.01</v>
      </c>
      <c r="E92">
        <v>2.78</v>
      </c>
      <c r="F92">
        <v>3.31</v>
      </c>
      <c r="G92">
        <v>3.55</v>
      </c>
      <c r="H92">
        <v>2.64</v>
      </c>
      <c r="I92">
        <v>1.84</v>
      </c>
      <c r="J92">
        <v>3.35</v>
      </c>
      <c r="K92">
        <v>5.47</v>
      </c>
      <c r="L92">
        <v>4.8499999999999996</v>
      </c>
      <c r="M92">
        <v>3.69</v>
      </c>
      <c r="N92">
        <v>3.35</v>
      </c>
      <c r="O92">
        <v>3.49</v>
      </c>
      <c r="P92" s="5">
        <f t="shared" si="27"/>
        <v>0.37412564734324444</v>
      </c>
      <c r="Q92">
        <f t="shared" si="28"/>
        <v>3.01</v>
      </c>
      <c r="R92" s="2">
        <f t="shared" si="25"/>
        <v>5.47</v>
      </c>
      <c r="S92" s="27">
        <f t="shared" si="26"/>
        <v>81.72757475083057</v>
      </c>
      <c r="T92">
        <v>3</v>
      </c>
      <c r="U92">
        <v>2.4</v>
      </c>
      <c r="V92">
        <v>1.89</v>
      </c>
      <c r="W92">
        <v>3.97</v>
      </c>
      <c r="X92">
        <v>3.78</v>
      </c>
      <c r="Y92">
        <v>3.49</v>
      </c>
      <c r="Z92">
        <v>2.67</v>
      </c>
      <c r="AA92">
        <v>4.03</v>
      </c>
      <c r="AB92">
        <v>4.07</v>
      </c>
      <c r="AC92">
        <v>4.21</v>
      </c>
      <c r="AD92">
        <v>4.08</v>
      </c>
      <c r="AE92">
        <v>3.46</v>
      </c>
      <c r="AI92">
        <v>2.74</v>
      </c>
      <c r="AJ92">
        <v>3.11</v>
      </c>
      <c r="AK92">
        <v>4.03</v>
      </c>
      <c r="AL92">
        <v>3.85</v>
      </c>
      <c r="AM92">
        <v>3.65</v>
      </c>
      <c r="AN92">
        <v>2.29</v>
      </c>
      <c r="AO92">
        <v>5.28</v>
      </c>
      <c r="AP92">
        <v>4.2300000000000004</v>
      </c>
      <c r="AQ92">
        <v>3.73</v>
      </c>
      <c r="AR92">
        <v>4.26</v>
      </c>
      <c r="AS92">
        <v>3.53</v>
      </c>
      <c r="AT92">
        <v>3.88</v>
      </c>
      <c r="AX92">
        <v>2.2200000000000002</v>
      </c>
      <c r="AY92">
        <v>3.08</v>
      </c>
      <c r="AZ92">
        <v>3.41</v>
      </c>
      <c r="BA92">
        <v>2.93</v>
      </c>
      <c r="BB92">
        <v>3.14</v>
      </c>
      <c r="BC92">
        <v>2.41</v>
      </c>
      <c r="BD92">
        <v>3.92</v>
      </c>
      <c r="BE92">
        <v>3.36</v>
      </c>
      <c r="BF92">
        <v>3.25</v>
      </c>
      <c r="BG92">
        <v>2.95</v>
      </c>
      <c r="BH92">
        <v>3.07</v>
      </c>
      <c r="BI92">
        <v>2.62</v>
      </c>
    </row>
    <row r="93" spans="1:66" x14ac:dyDescent="0.25">
      <c r="A93" s="4"/>
      <c r="B93" s="3" t="s">
        <v>100</v>
      </c>
      <c r="C93" s="21" t="s">
        <v>164</v>
      </c>
      <c r="D93">
        <v>1.89</v>
      </c>
      <c r="E93">
        <v>2.19</v>
      </c>
      <c r="F93">
        <v>2.64</v>
      </c>
      <c r="G93">
        <v>2.73</v>
      </c>
      <c r="H93">
        <v>2.11</v>
      </c>
      <c r="I93">
        <v>1.68</v>
      </c>
      <c r="J93">
        <v>4.95</v>
      </c>
      <c r="K93">
        <v>5.15</v>
      </c>
      <c r="L93">
        <v>4.9400000000000004</v>
      </c>
      <c r="M93">
        <v>4.49</v>
      </c>
      <c r="N93">
        <v>3.99</v>
      </c>
      <c r="O93">
        <v>3.12</v>
      </c>
      <c r="P93" s="5">
        <f t="shared" si="27"/>
        <v>0.35919354114460433</v>
      </c>
      <c r="Q93">
        <f t="shared" si="28"/>
        <v>2.19</v>
      </c>
      <c r="R93" s="2">
        <f t="shared" si="25"/>
        <v>5.15</v>
      </c>
      <c r="S93" s="27">
        <f t="shared" si="26"/>
        <v>135.15981735159821</v>
      </c>
      <c r="T93">
        <v>2.59</v>
      </c>
      <c r="U93">
        <v>2.68</v>
      </c>
      <c r="V93">
        <v>2.77</v>
      </c>
      <c r="W93">
        <v>2.95</v>
      </c>
      <c r="X93">
        <v>2.87</v>
      </c>
      <c r="Y93">
        <v>1.57</v>
      </c>
      <c r="Z93">
        <v>5.08</v>
      </c>
      <c r="AA93">
        <v>2.87</v>
      </c>
      <c r="AB93">
        <v>2.58</v>
      </c>
      <c r="AC93">
        <v>2.38</v>
      </c>
      <c r="AD93">
        <v>2.16</v>
      </c>
      <c r="AE93">
        <v>2.5099999999999998</v>
      </c>
      <c r="AS93" s="9"/>
      <c r="AT93" s="8" t="s">
        <v>113</v>
      </c>
      <c r="AU93" s="10">
        <v>5</v>
      </c>
      <c r="AV93" s="15" t="s">
        <v>114</v>
      </c>
      <c r="AW93" s="16"/>
      <c r="AX93" s="11"/>
      <c r="AY93" s="12"/>
      <c r="BG93" s="9"/>
      <c r="BH93" s="9"/>
      <c r="BI93" s="8" t="s">
        <v>113</v>
      </c>
      <c r="BJ93" s="10">
        <v>5</v>
      </c>
      <c r="BK93" s="15" t="s">
        <v>114</v>
      </c>
      <c r="BL93" s="16"/>
      <c r="BM93" s="11"/>
      <c r="BN93" s="12"/>
    </row>
    <row r="94" spans="1:66" x14ac:dyDescent="0.25">
      <c r="A94" s="4"/>
      <c r="B94" s="3"/>
      <c r="C94" s="21"/>
      <c r="P94" s="31" t="s">
        <v>110</v>
      </c>
      <c r="Q94" s="29">
        <f>AVERAGE(Q81:Q93)</f>
        <v>2.5615384615384613</v>
      </c>
      <c r="R94" s="30">
        <f>AVERAGE(R85:R93)</f>
        <v>4.3633333333333333</v>
      </c>
      <c r="S94" s="29">
        <f>AVERAGE(S81:S93)</f>
        <v>66.64132062411376</v>
      </c>
      <c r="AG94" s="44"/>
      <c r="AH94" s="45"/>
      <c r="AJ94" s="46"/>
      <c r="AS94" s="9"/>
      <c r="AT94" s="8"/>
      <c r="AU94" s="10"/>
      <c r="AV94" s="44"/>
      <c r="AW94" s="45"/>
      <c r="AY94" s="46"/>
      <c r="BG94" s="9"/>
      <c r="BH94" s="9"/>
      <c r="BI94" s="8"/>
      <c r="BJ94" s="10"/>
      <c r="BK94" s="44"/>
      <c r="BL94" s="45"/>
      <c r="BN94" s="46"/>
    </row>
    <row r="95" spans="1:66" x14ac:dyDescent="0.25">
      <c r="A95" s="4"/>
      <c r="B95" s="3"/>
      <c r="C95" s="21"/>
      <c r="P95" s="31" t="s">
        <v>111</v>
      </c>
      <c r="Q95" s="29">
        <f>STDEVA(Q81:Q93)</f>
        <v>0.83183377900722222</v>
      </c>
      <c r="R95" s="29">
        <f>STDEVA(R85:R93)</f>
        <v>0.99210634510620543</v>
      </c>
      <c r="S95" s="29">
        <f>STDEVA(S81:S93)</f>
        <v>40.763068314046841</v>
      </c>
      <c r="AG95" s="44"/>
      <c r="AH95" s="45"/>
      <c r="AJ95" s="46"/>
      <c r="AS95" s="9"/>
      <c r="AT95" s="8"/>
      <c r="AU95" s="10"/>
      <c r="AV95" s="44"/>
      <c r="AW95" s="45"/>
      <c r="AY95" s="46"/>
      <c r="BG95" s="9"/>
      <c r="BH95" s="9"/>
      <c r="BI95" s="8"/>
      <c r="BJ95" s="10"/>
      <c r="BK95" s="44"/>
      <c r="BL95" s="45"/>
      <c r="BN95" s="46"/>
    </row>
    <row r="96" spans="1:66" ht="16.5" thickBot="1" x14ac:dyDescent="0.3">
      <c r="A96" s="4"/>
      <c r="B96" s="3"/>
      <c r="C96" s="21"/>
      <c r="P96" s="31" t="s">
        <v>112</v>
      </c>
      <c r="Q96" s="32">
        <f>Q95/Q94</f>
        <v>0.32473991372654326</v>
      </c>
      <c r="R96" s="32">
        <f>R95/R94</f>
        <v>0.22737349391280492</v>
      </c>
      <c r="S96" s="32">
        <f>S95/S94</f>
        <v>0.61167857918015167</v>
      </c>
      <c r="AG96" s="44"/>
      <c r="AH96" s="45"/>
      <c r="AJ96" s="46"/>
      <c r="AS96" s="9"/>
      <c r="AT96" s="8"/>
      <c r="AU96" s="10"/>
      <c r="AV96" s="44"/>
      <c r="AW96" s="45"/>
      <c r="AY96" s="46"/>
      <c r="BG96" s="9"/>
      <c r="BH96" s="9"/>
      <c r="BI96" s="8"/>
      <c r="BJ96" s="10"/>
      <c r="BK96" s="44"/>
      <c r="BL96" s="45"/>
      <c r="BN96" s="46"/>
    </row>
    <row r="97" spans="1:66" ht="16.5" thickBot="1" x14ac:dyDescent="0.3">
      <c r="A97" s="4"/>
      <c r="B97" s="3"/>
      <c r="N97" s="9"/>
      <c r="O97" s="8" t="s">
        <v>113</v>
      </c>
      <c r="P97" s="10">
        <v>5</v>
      </c>
      <c r="Q97" s="15" t="s">
        <v>114</v>
      </c>
      <c r="R97" s="16"/>
      <c r="S97" s="16"/>
      <c r="T97" s="16"/>
      <c r="U97" s="17"/>
      <c r="AC97" s="9"/>
      <c r="AD97" s="9"/>
      <c r="AE97" s="8" t="s">
        <v>113</v>
      </c>
      <c r="AF97" s="10">
        <v>5</v>
      </c>
      <c r="AG97" s="18" t="s">
        <v>114</v>
      </c>
      <c r="AH97" s="13"/>
      <c r="AI97" s="13"/>
      <c r="AJ97" s="14"/>
      <c r="AS97" s="9"/>
      <c r="AT97" s="8" t="s">
        <v>115</v>
      </c>
      <c r="AU97" s="10">
        <v>10</v>
      </c>
      <c r="AV97" s="18" t="s">
        <v>114</v>
      </c>
      <c r="AW97" s="13"/>
      <c r="AX97" s="13"/>
      <c r="AY97" s="14"/>
      <c r="BG97" s="9"/>
      <c r="BH97" s="9"/>
      <c r="BI97" s="8" t="s">
        <v>115</v>
      </c>
      <c r="BJ97" s="10">
        <v>10</v>
      </c>
      <c r="BK97" s="18" t="s">
        <v>114</v>
      </c>
      <c r="BL97" s="13"/>
      <c r="BM97" s="13"/>
      <c r="BN97" s="14"/>
    </row>
    <row r="98" spans="1:66" ht="16.5" thickBot="1" x14ac:dyDescent="0.3">
      <c r="A98" s="4"/>
      <c r="B98" s="3"/>
      <c r="N98" s="9"/>
      <c r="O98" s="8" t="s">
        <v>115</v>
      </c>
      <c r="P98" s="10">
        <v>13</v>
      </c>
      <c r="Q98" s="18" t="s">
        <v>114</v>
      </c>
      <c r="R98" s="13"/>
      <c r="S98" s="13"/>
      <c r="T98" s="13"/>
      <c r="U98" s="14"/>
      <c r="AC98" s="9"/>
      <c r="AD98" s="9"/>
      <c r="AE98" s="8" t="s">
        <v>115</v>
      </c>
      <c r="AF98" s="10">
        <v>10</v>
      </c>
      <c r="AT98" s="2" t="s">
        <v>116</v>
      </c>
      <c r="AU98" s="5" t="e">
        <f>SQRT(AVERAGE(AU81:AU92))</f>
        <v>#DIV/0!</v>
      </c>
      <c r="BI98" s="2" t="s">
        <v>116</v>
      </c>
      <c r="BJ98" s="5" t="e">
        <f>SQRT(AVERAGE(BJ81:BJ92))</f>
        <v>#DIV/0!</v>
      </c>
    </row>
    <row r="99" spans="1:66" x14ac:dyDescent="0.25">
      <c r="A99" s="4"/>
      <c r="B99" s="3"/>
      <c r="O99" s="2" t="s">
        <v>116</v>
      </c>
      <c r="P99" s="27">
        <f>SQRT(AVERAGE(P81:P93))</f>
        <v>0.54840112807140107</v>
      </c>
      <c r="AE99" s="2" t="s">
        <v>116</v>
      </c>
      <c r="AF99" s="5" t="e">
        <f>SQRT(AVERAGE(AF81:AF92))</f>
        <v>#DIV/0!</v>
      </c>
      <c r="AT99" s="2" t="s">
        <v>117</v>
      </c>
      <c r="AU99" s="5" t="e">
        <f>2.77*AU98</f>
        <v>#DIV/0!</v>
      </c>
      <c r="BI99" s="2" t="s">
        <v>117</v>
      </c>
      <c r="BJ99" s="5" t="e">
        <f>2.77*BJ98</f>
        <v>#DIV/0!</v>
      </c>
    </row>
    <row r="100" spans="1:66" x14ac:dyDescent="0.25">
      <c r="A100" s="4"/>
      <c r="B100" s="3"/>
      <c r="O100" s="2" t="s">
        <v>117</v>
      </c>
      <c r="P100" s="27">
        <f>2.77*P99</f>
        <v>1.5190711247577811</v>
      </c>
      <c r="AE100" s="2" t="s">
        <v>117</v>
      </c>
      <c r="AF100" s="5" t="e">
        <f>2.77*AF99</f>
        <v>#DIV/0!</v>
      </c>
      <c r="AT100" s="2" t="s">
        <v>118</v>
      </c>
      <c r="AU100" s="5" t="e">
        <f>AU99-(1.96*(AU98/(SQRT(2*AU97*(AU93-1)))))</f>
        <v>#DIV/0!</v>
      </c>
      <c r="BI100" s="2" t="s">
        <v>118</v>
      </c>
      <c r="BJ100" s="5" t="e">
        <f>BJ99-(1.96*(BJ98/(SQRT(2*BJ97*(BJ93-1)))))</f>
        <v>#DIV/0!</v>
      </c>
    </row>
    <row r="101" spans="1:66" x14ac:dyDescent="0.25">
      <c r="A101" s="4"/>
      <c r="B101" s="3"/>
      <c r="O101" s="2" t="s">
        <v>118</v>
      </c>
      <c r="P101" s="27">
        <f>P100-(1.96*(P99/(SQRT(2*P98*(P97-1)))))</f>
        <v>1.4136718212098534</v>
      </c>
      <c r="AE101" s="2" t="s">
        <v>118</v>
      </c>
      <c r="AF101" s="5" t="e">
        <f>AF100-(1.96*(AF99/(SQRT(2*AF98*(AF97-1)))))</f>
        <v>#DIV/0!</v>
      </c>
      <c r="AT101" s="2" t="s">
        <v>119</v>
      </c>
      <c r="AU101" s="5" t="e">
        <f>AU99+(1.96*(AU98/(SQRT(2*AU97*(AU93-1)))))</f>
        <v>#DIV/0!</v>
      </c>
      <c r="BI101" s="2" t="s">
        <v>119</v>
      </c>
      <c r="BJ101" s="5" t="e">
        <f>BJ99+(1.96*(BJ98/(SQRT(2*BJ97*(BJ93-1)))))</f>
        <v>#DIV/0!</v>
      </c>
    </row>
    <row r="102" spans="1:66" x14ac:dyDescent="0.25">
      <c r="A102" s="4"/>
      <c r="B102" s="3"/>
      <c r="O102" s="2" t="s">
        <v>119</v>
      </c>
      <c r="P102" s="27">
        <f>P100+(1.96*(P99/(SQRT(2*P98*(P97-1)))))</f>
        <v>1.6244704283057088</v>
      </c>
      <c r="AE102" s="2" t="s">
        <v>119</v>
      </c>
      <c r="AF102" s="5" t="e">
        <f>AF100+(1.96*(AF99/(SQRT(2*AF98*(AF97-1)))))</f>
        <v>#DIV/0!</v>
      </c>
      <c r="AT102" s="2" t="s">
        <v>119</v>
      </c>
      <c r="AU102" s="5" t="e">
        <f>AU100+(1.96*(AU99/(SQRT(2*AU98*(AU97-1)))))</f>
        <v>#DIV/0!</v>
      </c>
      <c r="BI102" s="2" t="s">
        <v>119</v>
      </c>
      <c r="BJ102" s="5" t="e">
        <f>BJ100+(1.96*(BJ99/(SQRT(2*BJ98*(BJ97-1)))))</f>
        <v>#DIV/0!</v>
      </c>
    </row>
    <row r="103" spans="1:66" s="40" customFormat="1" x14ac:dyDescent="0.25">
      <c r="A103" s="41"/>
      <c r="B103" s="39"/>
      <c r="O103" s="42"/>
      <c r="P103" s="43"/>
      <c r="AE103" s="42"/>
      <c r="AF103" s="43"/>
      <c r="AT103" s="42"/>
      <c r="AU103" s="43"/>
      <c r="BI103" s="42"/>
      <c r="BJ103" s="43"/>
    </row>
    <row r="104" spans="1:66" x14ac:dyDescent="0.25">
      <c r="A104" s="67" t="s">
        <v>165</v>
      </c>
    </row>
    <row r="105" spans="1:66" x14ac:dyDescent="0.25">
      <c r="A105" s="67"/>
    </row>
    <row r="106" spans="1:66" x14ac:dyDescent="0.25">
      <c r="A106" s="67"/>
      <c r="B106" s="3" t="s">
        <v>166</v>
      </c>
      <c r="C106" t="s">
        <v>167</v>
      </c>
      <c r="D106">
        <v>2.04</v>
      </c>
      <c r="E106">
        <v>1.65</v>
      </c>
      <c r="F106">
        <v>1.69</v>
      </c>
      <c r="G106">
        <v>1.63</v>
      </c>
      <c r="H106">
        <v>1.65</v>
      </c>
      <c r="I106">
        <v>2.77</v>
      </c>
      <c r="J106">
        <v>2.4500000000000002</v>
      </c>
      <c r="K106">
        <v>2.46</v>
      </c>
      <c r="L106">
        <v>2.5</v>
      </c>
      <c r="M106">
        <v>3.53</v>
      </c>
      <c r="N106">
        <v>3.1</v>
      </c>
      <c r="O106">
        <v>2.99</v>
      </c>
      <c r="P106" s="5">
        <f t="shared" ref="P106:P112" si="29">IFERROR(STDEVA(D106:H106),#N/A)</f>
        <v>0.17355114519933315</v>
      </c>
      <c r="Q106">
        <f t="shared" ref="Q106:Q112" si="30">MEDIAN(D106:H106)</f>
        <v>1.65</v>
      </c>
      <c r="R106" s="2">
        <f t="shared" ref="R106:R112" si="31">MAX(J106:O106)</f>
        <v>3.53</v>
      </c>
      <c r="S106" s="27">
        <f t="shared" ref="S106:S112" si="32">100*(R106-Q106)/Q106</f>
        <v>113.93939393939395</v>
      </c>
      <c r="T106">
        <v>2.2999999999999998</v>
      </c>
      <c r="U106">
        <v>2.83</v>
      </c>
      <c r="V106">
        <v>2.31</v>
      </c>
      <c r="W106">
        <v>2.23</v>
      </c>
      <c r="X106">
        <v>2.2799999999999998</v>
      </c>
      <c r="Y106">
        <v>1.67</v>
      </c>
      <c r="Z106">
        <v>3.74</v>
      </c>
      <c r="AA106">
        <v>3.43</v>
      </c>
      <c r="AB106">
        <v>3.13</v>
      </c>
      <c r="AC106">
        <v>2.76</v>
      </c>
      <c r="AD106">
        <v>2.38</v>
      </c>
      <c r="AE106">
        <v>2.31</v>
      </c>
      <c r="AI106">
        <v>1.36</v>
      </c>
      <c r="AJ106">
        <v>1.51</v>
      </c>
      <c r="AK106">
        <v>1.71</v>
      </c>
      <c r="AL106">
        <v>2.3199999999999998</v>
      </c>
      <c r="AM106">
        <v>1.76</v>
      </c>
      <c r="AN106">
        <v>2.29</v>
      </c>
      <c r="AO106">
        <v>2.25</v>
      </c>
      <c r="AP106">
        <v>2.2200000000000002</v>
      </c>
      <c r="AQ106">
        <v>2.21</v>
      </c>
      <c r="AR106">
        <v>2.04</v>
      </c>
      <c r="AS106">
        <v>2.0299999999999998</v>
      </c>
      <c r="AT106">
        <v>1.76</v>
      </c>
      <c r="AX106">
        <v>2.0299999999999998</v>
      </c>
      <c r="AY106">
        <v>1.81</v>
      </c>
      <c r="AZ106">
        <v>2.12</v>
      </c>
      <c r="BA106">
        <v>2.0699999999999998</v>
      </c>
      <c r="BB106">
        <v>1.92</v>
      </c>
      <c r="BC106">
        <v>2.34</v>
      </c>
      <c r="BD106">
        <v>2.2400000000000002</v>
      </c>
      <c r="BE106">
        <v>2.15</v>
      </c>
      <c r="BF106">
        <v>2.2599999999999998</v>
      </c>
      <c r="BG106">
        <v>2.23</v>
      </c>
      <c r="BH106">
        <v>2.57</v>
      </c>
      <c r="BI106">
        <v>2.56</v>
      </c>
    </row>
    <row r="107" spans="1:66" x14ac:dyDescent="0.25">
      <c r="A107" s="67"/>
      <c r="B107" s="3" t="s">
        <v>166</v>
      </c>
      <c r="C107" t="s">
        <v>168</v>
      </c>
      <c r="E107">
        <v>2.34</v>
      </c>
      <c r="F107">
        <v>2.25</v>
      </c>
      <c r="G107">
        <v>2.4300000000000002</v>
      </c>
      <c r="H107">
        <v>2.12</v>
      </c>
      <c r="I107">
        <v>1.84</v>
      </c>
      <c r="J107">
        <v>2.4300000000000002</v>
      </c>
      <c r="K107">
        <v>1.65</v>
      </c>
      <c r="L107">
        <v>1.1599999999999999</v>
      </c>
      <c r="M107">
        <v>1.33</v>
      </c>
      <c r="N107">
        <v>1.42</v>
      </c>
      <c r="O107">
        <v>1.98</v>
      </c>
      <c r="P107" s="5">
        <f t="shared" si="29"/>
        <v>0.13228756555322951</v>
      </c>
      <c r="Q107">
        <f t="shared" si="30"/>
        <v>2.2949999999999999</v>
      </c>
      <c r="R107" s="2">
        <f t="shared" si="31"/>
        <v>2.4300000000000002</v>
      </c>
      <c r="S107" s="27">
        <f t="shared" si="32"/>
        <v>5.8823529411764808</v>
      </c>
      <c r="T107">
        <v>2.02</v>
      </c>
      <c r="U107">
        <v>2.1</v>
      </c>
      <c r="V107">
        <v>2.2599999999999998</v>
      </c>
      <c r="W107">
        <v>2.04</v>
      </c>
      <c r="X107">
        <v>2.0099999999999998</v>
      </c>
      <c r="Y107">
        <v>2.06</v>
      </c>
      <c r="Z107">
        <v>2.1</v>
      </c>
      <c r="AA107">
        <v>3.5</v>
      </c>
      <c r="AB107">
        <v>3.16</v>
      </c>
      <c r="AC107">
        <v>2.54</v>
      </c>
      <c r="AD107">
        <v>2.23</v>
      </c>
      <c r="AE107">
        <v>1.82</v>
      </c>
      <c r="AI107">
        <v>1.7</v>
      </c>
      <c r="AJ107">
        <v>1.41</v>
      </c>
      <c r="AK107">
        <v>1.63</v>
      </c>
      <c r="AL107">
        <v>1.81</v>
      </c>
      <c r="AM107">
        <v>1.55</v>
      </c>
      <c r="AN107">
        <v>1.01</v>
      </c>
      <c r="AO107">
        <v>2.04</v>
      </c>
      <c r="AP107">
        <v>3.02</v>
      </c>
      <c r="AQ107">
        <v>1.72</v>
      </c>
      <c r="AR107">
        <v>1.97</v>
      </c>
      <c r="AS107">
        <v>2.2599999999999998</v>
      </c>
      <c r="AT107">
        <v>2.0099999999999998</v>
      </c>
      <c r="AX107">
        <v>2.44</v>
      </c>
      <c r="AY107">
        <v>2.81</v>
      </c>
      <c r="AZ107">
        <v>2.09</v>
      </c>
      <c r="BA107">
        <v>2.63</v>
      </c>
      <c r="BB107">
        <v>2.1800000000000002</v>
      </c>
      <c r="BC107">
        <v>1.24</v>
      </c>
      <c r="BD107">
        <v>4.45</v>
      </c>
      <c r="BE107">
        <v>3.85</v>
      </c>
      <c r="BF107">
        <v>3.02</v>
      </c>
      <c r="BG107">
        <v>2.4500000000000002</v>
      </c>
      <c r="BH107">
        <v>2</v>
      </c>
      <c r="BI107">
        <v>2.4700000000000002</v>
      </c>
    </row>
    <row r="108" spans="1:66" x14ac:dyDescent="0.25">
      <c r="A108" s="67"/>
      <c r="B108" s="3" t="s">
        <v>166</v>
      </c>
      <c r="C108" t="s">
        <v>169</v>
      </c>
      <c r="D108">
        <v>2.33</v>
      </c>
      <c r="E108">
        <v>2.34</v>
      </c>
      <c r="F108">
        <v>2.46</v>
      </c>
      <c r="G108">
        <v>2.27</v>
      </c>
      <c r="H108">
        <v>2.06</v>
      </c>
      <c r="I108">
        <v>1.35</v>
      </c>
      <c r="J108">
        <v>3.3</v>
      </c>
      <c r="K108">
        <v>3.25</v>
      </c>
      <c r="L108">
        <v>2.84</v>
      </c>
      <c r="M108">
        <v>2.63</v>
      </c>
      <c r="N108">
        <v>2.4300000000000002</v>
      </c>
      <c r="O108">
        <v>1.94</v>
      </c>
      <c r="P108" s="5">
        <f t="shared" si="29"/>
        <v>0.14686728703152377</v>
      </c>
      <c r="Q108">
        <f t="shared" si="30"/>
        <v>2.33</v>
      </c>
      <c r="R108" s="2">
        <f t="shared" si="31"/>
        <v>3.3</v>
      </c>
      <c r="S108" s="27">
        <f t="shared" si="32"/>
        <v>41.630901287553634</v>
      </c>
      <c r="T108">
        <v>1.93</v>
      </c>
      <c r="U108">
        <v>2.42</v>
      </c>
      <c r="V108">
        <v>2.65</v>
      </c>
      <c r="W108">
        <v>3.45</v>
      </c>
      <c r="X108">
        <v>3.36</v>
      </c>
      <c r="Y108">
        <v>1.74</v>
      </c>
      <c r="Z108">
        <v>4.0199999999999996</v>
      </c>
      <c r="AA108">
        <v>4.74</v>
      </c>
      <c r="AB108">
        <v>4.4000000000000004</v>
      </c>
      <c r="AC108">
        <v>4.21</v>
      </c>
      <c r="AD108">
        <v>3.99</v>
      </c>
      <c r="AE108">
        <v>4</v>
      </c>
      <c r="AI108">
        <v>1.88</v>
      </c>
      <c r="AJ108">
        <v>2.5499999999999998</v>
      </c>
      <c r="AK108">
        <v>2.61</v>
      </c>
      <c r="AL108">
        <v>2.5299999999999998</v>
      </c>
      <c r="AM108">
        <v>1.91</v>
      </c>
      <c r="AN108">
        <v>1.65</v>
      </c>
      <c r="AO108">
        <v>3.22</v>
      </c>
      <c r="AP108">
        <v>3.48</v>
      </c>
      <c r="AQ108">
        <v>2.93</v>
      </c>
      <c r="AR108">
        <v>2.36</v>
      </c>
      <c r="AS108">
        <v>2.16</v>
      </c>
      <c r="AT108">
        <v>1.76</v>
      </c>
      <c r="AX108">
        <v>1.84</v>
      </c>
      <c r="AY108">
        <v>1.83</v>
      </c>
      <c r="AZ108">
        <v>1.8</v>
      </c>
      <c r="BA108">
        <v>2.08</v>
      </c>
      <c r="BB108">
        <v>1.84</v>
      </c>
      <c r="BC108">
        <v>1.47</v>
      </c>
      <c r="BD108">
        <v>3.01</v>
      </c>
      <c r="BE108">
        <v>2.58</v>
      </c>
      <c r="BF108">
        <v>2.4700000000000002</v>
      </c>
      <c r="BG108">
        <v>1.79</v>
      </c>
      <c r="BH108">
        <v>1.76</v>
      </c>
      <c r="BI108">
        <v>1.81</v>
      </c>
    </row>
    <row r="109" spans="1:66" x14ac:dyDescent="0.25">
      <c r="A109" s="67"/>
      <c r="B109" s="3" t="s">
        <v>166</v>
      </c>
      <c r="C109" t="s">
        <v>170</v>
      </c>
      <c r="D109">
        <v>2.1800000000000002</v>
      </c>
      <c r="E109">
        <v>2.44</v>
      </c>
      <c r="F109">
        <v>2.15</v>
      </c>
      <c r="G109">
        <v>1.84</v>
      </c>
      <c r="H109">
        <v>1.52</v>
      </c>
      <c r="I109">
        <v>1.67</v>
      </c>
      <c r="J109">
        <v>3</v>
      </c>
      <c r="K109">
        <v>3.2</v>
      </c>
      <c r="L109">
        <v>2.87</v>
      </c>
      <c r="M109">
        <v>2.57</v>
      </c>
      <c r="N109">
        <v>2.62</v>
      </c>
      <c r="O109">
        <v>2.73</v>
      </c>
      <c r="P109" s="5">
        <f t="shared" si="29"/>
        <v>0.35394914889006435</v>
      </c>
      <c r="Q109">
        <f t="shared" si="30"/>
        <v>2.15</v>
      </c>
      <c r="R109" s="2">
        <f t="shared" si="31"/>
        <v>3.2</v>
      </c>
      <c r="S109" s="27">
        <f t="shared" si="32"/>
        <v>48.837209302325597</v>
      </c>
      <c r="T109">
        <v>1.8</v>
      </c>
      <c r="U109">
        <v>1.67</v>
      </c>
      <c r="V109">
        <v>2.23</v>
      </c>
      <c r="W109">
        <v>2.4900000000000002</v>
      </c>
      <c r="X109">
        <v>2.5</v>
      </c>
      <c r="Y109">
        <v>1.57</v>
      </c>
      <c r="Z109">
        <v>3.14</v>
      </c>
      <c r="AA109">
        <v>3.27</v>
      </c>
      <c r="AB109">
        <v>3.56</v>
      </c>
      <c r="AC109">
        <v>4</v>
      </c>
      <c r="AD109">
        <v>3.72</v>
      </c>
      <c r="AE109">
        <v>3.52</v>
      </c>
      <c r="AI109">
        <v>1.72</v>
      </c>
      <c r="AJ109">
        <v>2.0299999999999998</v>
      </c>
      <c r="AK109">
        <v>1.62</v>
      </c>
      <c r="AL109">
        <v>2.37</v>
      </c>
      <c r="AM109">
        <v>2.14</v>
      </c>
      <c r="AN109">
        <v>1.99</v>
      </c>
      <c r="AO109">
        <v>3.48</v>
      </c>
      <c r="AP109">
        <v>2.87</v>
      </c>
      <c r="AQ109">
        <v>2.76</v>
      </c>
      <c r="AR109">
        <v>2.68</v>
      </c>
      <c r="AS109">
        <v>3.02</v>
      </c>
      <c r="AT109">
        <v>2.6</v>
      </c>
      <c r="AX109">
        <v>2.2200000000000002</v>
      </c>
      <c r="AY109">
        <v>2.35</v>
      </c>
      <c r="AZ109">
        <v>2.13</v>
      </c>
      <c r="BA109">
        <v>2.23</v>
      </c>
      <c r="BB109">
        <v>2.21</v>
      </c>
      <c r="BC109">
        <v>1.96</v>
      </c>
      <c r="BD109">
        <v>4.0199999999999996</v>
      </c>
      <c r="BE109">
        <v>3.14</v>
      </c>
      <c r="BF109">
        <v>2.83</v>
      </c>
      <c r="BG109">
        <v>2.69</v>
      </c>
      <c r="BH109">
        <v>2.3199999999999998</v>
      </c>
      <c r="BI109">
        <v>1.95</v>
      </c>
    </row>
    <row r="110" spans="1:66" x14ac:dyDescent="0.25">
      <c r="A110" s="67"/>
      <c r="B110" s="3" t="s">
        <v>166</v>
      </c>
      <c r="C110" t="s">
        <v>171</v>
      </c>
      <c r="D110">
        <v>1.52</v>
      </c>
      <c r="E110">
        <v>1.3</v>
      </c>
      <c r="F110">
        <v>1.45</v>
      </c>
      <c r="G110">
        <v>1.25</v>
      </c>
      <c r="H110">
        <v>1.75</v>
      </c>
      <c r="I110">
        <v>1.27</v>
      </c>
      <c r="J110">
        <v>3.38</v>
      </c>
      <c r="K110">
        <v>3</v>
      </c>
      <c r="L110">
        <v>1.99</v>
      </c>
      <c r="M110">
        <v>1.88</v>
      </c>
      <c r="N110">
        <v>1.55</v>
      </c>
      <c r="O110">
        <v>1.57</v>
      </c>
      <c r="P110" s="5">
        <f t="shared" si="29"/>
        <v>0.19831792657246003</v>
      </c>
      <c r="Q110">
        <f t="shared" si="30"/>
        <v>1.45</v>
      </c>
      <c r="R110" s="2">
        <f t="shared" si="31"/>
        <v>3.38</v>
      </c>
      <c r="S110" s="27">
        <f t="shared" si="32"/>
        <v>133.10344827586206</v>
      </c>
      <c r="T110">
        <v>2.23</v>
      </c>
      <c r="U110">
        <v>2.27</v>
      </c>
      <c r="V110">
        <v>2.17</v>
      </c>
      <c r="W110">
        <v>2.14</v>
      </c>
      <c r="X110">
        <v>2.06</v>
      </c>
      <c r="Y110">
        <v>1.7</v>
      </c>
      <c r="Z110">
        <v>3.64</v>
      </c>
      <c r="AA110">
        <v>2.75</v>
      </c>
      <c r="AB110">
        <v>2.2000000000000002</v>
      </c>
      <c r="AC110">
        <v>2.13</v>
      </c>
      <c r="AD110">
        <v>2.02</v>
      </c>
      <c r="AE110">
        <v>2.38</v>
      </c>
      <c r="AI110">
        <v>2.11</v>
      </c>
      <c r="AJ110">
        <v>2.54</v>
      </c>
      <c r="AK110">
        <v>2.58</v>
      </c>
      <c r="AL110">
        <v>2.84</v>
      </c>
      <c r="AM110">
        <v>2.7</v>
      </c>
      <c r="AN110">
        <v>1.83</v>
      </c>
      <c r="AO110">
        <v>3.63</v>
      </c>
      <c r="AP110">
        <v>3.48</v>
      </c>
      <c r="AQ110">
        <v>2.93</v>
      </c>
      <c r="AR110">
        <v>2.44</v>
      </c>
      <c r="AS110">
        <v>2.61</v>
      </c>
      <c r="AT110">
        <v>2.5099999999999998</v>
      </c>
      <c r="AX110">
        <v>2.36</v>
      </c>
      <c r="AY110">
        <v>2.42</v>
      </c>
      <c r="AZ110">
        <v>2.2200000000000002</v>
      </c>
      <c r="BA110">
        <v>2.5</v>
      </c>
      <c r="BB110">
        <v>1.34</v>
      </c>
      <c r="BC110">
        <v>1.1000000000000001</v>
      </c>
      <c r="BD110">
        <v>3.55</v>
      </c>
      <c r="BE110">
        <v>3.73</v>
      </c>
      <c r="BF110">
        <v>3.02</v>
      </c>
      <c r="BG110">
        <v>2.96</v>
      </c>
      <c r="BH110">
        <v>3.13</v>
      </c>
      <c r="BI110">
        <v>2.97</v>
      </c>
    </row>
    <row r="111" spans="1:66" x14ac:dyDescent="0.25">
      <c r="A111" s="67"/>
      <c r="B111" s="3" t="s">
        <v>166</v>
      </c>
      <c r="C111" t="s">
        <v>172</v>
      </c>
      <c r="D111">
        <v>2.1800000000000002</v>
      </c>
      <c r="E111">
        <v>1.98</v>
      </c>
      <c r="F111">
        <v>1.54</v>
      </c>
      <c r="G111">
        <v>1.42</v>
      </c>
      <c r="H111">
        <v>1.74</v>
      </c>
      <c r="I111">
        <v>1.4</v>
      </c>
      <c r="J111">
        <v>2.63</v>
      </c>
      <c r="K111">
        <v>2.17</v>
      </c>
      <c r="L111">
        <v>1.64</v>
      </c>
      <c r="M111">
        <v>1.82</v>
      </c>
      <c r="N111">
        <v>1.7</v>
      </c>
      <c r="O111">
        <v>1.75</v>
      </c>
      <c r="P111" s="5">
        <f t="shared" si="29"/>
        <v>0.31164081889252049</v>
      </c>
      <c r="Q111">
        <f t="shared" si="30"/>
        <v>1.74</v>
      </c>
      <c r="R111" s="2">
        <f t="shared" si="31"/>
        <v>2.63</v>
      </c>
      <c r="S111" s="27">
        <f t="shared" si="32"/>
        <v>51.149425287356316</v>
      </c>
      <c r="T111">
        <v>1.73</v>
      </c>
      <c r="U111">
        <v>1.85</v>
      </c>
      <c r="V111">
        <v>1.58</v>
      </c>
      <c r="W111">
        <v>1.72</v>
      </c>
      <c r="X111">
        <v>1.92</v>
      </c>
      <c r="Y111">
        <v>1.84</v>
      </c>
      <c r="Z111">
        <v>2.34</v>
      </c>
      <c r="AA111">
        <v>1.5</v>
      </c>
      <c r="AB111">
        <v>1.69</v>
      </c>
      <c r="AC111">
        <v>1.22</v>
      </c>
      <c r="AD111">
        <v>1.01</v>
      </c>
      <c r="AE111">
        <v>1.05</v>
      </c>
      <c r="AI111">
        <v>2.31</v>
      </c>
      <c r="AJ111">
        <v>1.75</v>
      </c>
      <c r="AK111">
        <v>1.43</v>
      </c>
      <c r="AL111">
        <v>1.8</v>
      </c>
      <c r="AM111">
        <v>1.95</v>
      </c>
      <c r="AN111">
        <v>1.65</v>
      </c>
      <c r="AO111">
        <v>2.68</v>
      </c>
      <c r="AP111">
        <v>2.4700000000000002</v>
      </c>
      <c r="AQ111">
        <v>2.12</v>
      </c>
      <c r="AR111">
        <v>1.54</v>
      </c>
      <c r="AS111">
        <v>1.64</v>
      </c>
      <c r="AT111">
        <v>2.13</v>
      </c>
      <c r="AX111">
        <v>2.09</v>
      </c>
      <c r="AY111">
        <v>1.93</v>
      </c>
      <c r="AZ111">
        <v>2.25</v>
      </c>
      <c r="BA111">
        <v>2.1800000000000002</v>
      </c>
      <c r="BB111">
        <v>2.29</v>
      </c>
      <c r="BC111">
        <v>1.7</v>
      </c>
      <c r="BD111">
        <v>2.74</v>
      </c>
      <c r="BE111">
        <v>3.01</v>
      </c>
      <c r="BF111">
        <v>2.13</v>
      </c>
      <c r="BG111">
        <v>2.23</v>
      </c>
      <c r="BH111">
        <v>2.0099999999999998</v>
      </c>
      <c r="BI111">
        <v>1.93</v>
      </c>
    </row>
    <row r="112" spans="1:66" x14ac:dyDescent="0.25">
      <c r="A112" s="67"/>
      <c r="B112" s="3" t="s">
        <v>166</v>
      </c>
      <c r="C112" t="s">
        <v>173</v>
      </c>
      <c r="D112">
        <v>1.81</v>
      </c>
      <c r="E112">
        <v>2.75</v>
      </c>
      <c r="F112">
        <v>2.79</v>
      </c>
      <c r="G112">
        <v>2.2000000000000002</v>
      </c>
      <c r="H112">
        <v>2.62</v>
      </c>
      <c r="I112">
        <v>1.59</v>
      </c>
      <c r="J112">
        <v>4.9000000000000004</v>
      </c>
      <c r="K112">
        <v>4.1100000000000003</v>
      </c>
      <c r="L112">
        <v>2.85</v>
      </c>
      <c r="M112">
        <v>2.38</v>
      </c>
      <c r="N112">
        <v>1.94</v>
      </c>
      <c r="O112">
        <v>2.36</v>
      </c>
      <c r="P112" s="5">
        <f t="shared" si="29"/>
        <v>0.41991665839782816</v>
      </c>
      <c r="Q112">
        <f t="shared" si="30"/>
        <v>2.62</v>
      </c>
      <c r="R112" s="2">
        <f t="shared" si="31"/>
        <v>4.9000000000000004</v>
      </c>
      <c r="S112" s="27">
        <f t="shared" si="32"/>
        <v>87.022900763358791</v>
      </c>
    </row>
    <row r="113" spans="1:66" x14ac:dyDescent="0.25">
      <c r="A113" s="67"/>
      <c r="B113" s="3"/>
      <c r="P113" s="31" t="s">
        <v>110</v>
      </c>
      <c r="Q113" s="29">
        <f>AVERAGE(Q104:Q112)</f>
        <v>2.0335714285714284</v>
      </c>
      <c r="R113" s="30">
        <f>AVERAGE(R107:R112)</f>
        <v>3.3066666666666662</v>
      </c>
      <c r="S113" s="29">
        <f>AVERAGE(S104:S112)</f>
        <v>68.795090256718126</v>
      </c>
    </row>
    <row r="114" spans="1:66" x14ac:dyDescent="0.25">
      <c r="A114" s="67"/>
      <c r="B114" s="3"/>
      <c r="P114" s="31" t="s">
        <v>111</v>
      </c>
      <c r="Q114" s="29">
        <f>STDEVA(Q104:Q112)</f>
        <v>0.42574164980766416</v>
      </c>
      <c r="R114" s="29">
        <f>STDEVA(R107:R112)</f>
        <v>0.86970493080508127</v>
      </c>
      <c r="S114" s="29">
        <f>STDEVA(S104:S112)</f>
        <v>44.555991600953718</v>
      </c>
    </row>
    <row r="115" spans="1:66" ht="16.5" thickBot="1" x14ac:dyDescent="0.3">
      <c r="A115" s="67"/>
      <c r="B115" s="3"/>
      <c r="P115" s="31" t="s">
        <v>112</v>
      </c>
      <c r="Q115" s="32">
        <f>Q114/Q113</f>
        <v>0.20935662442245517</v>
      </c>
      <c r="R115" s="32">
        <f>R114/R113</f>
        <v>0.26301560407411734</v>
      </c>
      <c r="S115" s="32">
        <f>S114/S113</f>
        <v>0.64766237582779596</v>
      </c>
    </row>
    <row r="116" spans="1:66" x14ac:dyDescent="0.25">
      <c r="A116" s="4"/>
      <c r="B116" s="3"/>
      <c r="N116" s="9"/>
      <c r="O116" s="8" t="s">
        <v>113</v>
      </c>
      <c r="P116" s="10">
        <v>5</v>
      </c>
      <c r="Q116" s="15" t="s">
        <v>114</v>
      </c>
      <c r="R116" s="16"/>
      <c r="S116" s="16"/>
      <c r="T116" s="16"/>
      <c r="U116" s="17"/>
      <c r="AC116" s="9"/>
      <c r="AD116" s="9"/>
      <c r="AE116" s="8" t="s">
        <v>113</v>
      </c>
      <c r="AF116" s="10">
        <v>5</v>
      </c>
      <c r="AG116" s="15" t="s">
        <v>114</v>
      </c>
      <c r="AH116" s="16"/>
      <c r="AI116" s="11"/>
      <c r="AJ116" s="12"/>
      <c r="AS116" s="9"/>
      <c r="AT116" s="8" t="s">
        <v>113</v>
      </c>
      <c r="AU116" s="10">
        <v>5</v>
      </c>
      <c r="AV116" s="15" t="s">
        <v>114</v>
      </c>
      <c r="AW116" s="16"/>
      <c r="AX116" s="11"/>
      <c r="AY116" s="12"/>
      <c r="BG116" s="9"/>
      <c r="BH116" s="9"/>
      <c r="BI116" s="8" t="s">
        <v>113</v>
      </c>
      <c r="BJ116" s="10">
        <v>5</v>
      </c>
      <c r="BK116" s="15" t="s">
        <v>114</v>
      </c>
      <c r="BL116" s="16"/>
      <c r="BM116" s="11"/>
      <c r="BN116" s="12"/>
    </row>
    <row r="117" spans="1:66" ht="16.5" thickBot="1" x14ac:dyDescent="0.3">
      <c r="A117" s="4"/>
      <c r="B117" s="3"/>
      <c r="N117" s="9"/>
      <c r="O117" s="8" t="s">
        <v>115</v>
      </c>
      <c r="P117" s="10">
        <v>7</v>
      </c>
      <c r="Q117" s="18" t="s">
        <v>114</v>
      </c>
      <c r="R117" s="13"/>
      <c r="S117" s="13"/>
      <c r="T117" s="13"/>
      <c r="U117" s="14"/>
      <c r="AC117" s="9"/>
      <c r="AD117" s="9"/>
      <c r="AE117" s="8" t="s">
        <v>115</v>
      </c>
      <c r="AF117" s="10">
        <v>10</v>
      </c>
      <c r="AG117" s="18" t="s">
        <v>114</v>
      </c>
      <c r="AH117" s="13"/>
      <c r="AI117" s="13"/>
      <c r="AJ117" s="14"/>
      <c r="AS117" s="9"/>
      <c r="AT117" s="8" t="s">
        <v>115</v>
      </c>
      <c r="AU117" s="10">
        <v>10</v>
      </c>
      <c r="AV117" s="18" t="s">
        <v>114</v>
      </c>
      <c r="AW117" s="13"/>
      <c r="AX117" s="13"/>
      <c r="AY117" s="14"/>
      <c r="BG117" s="9"/>
      <c r="BH117" s="9"/>
      <c r="BI117" s="8" t="s">
        <v>115</v>
      </c>
      <c r="BJ117" s="10">
        <v>10</v>
      </c>
      <c r="BK117" s="18" t="s">
        <v>114</v>
      </c>
      <c r="BL117" s="13"/>
      <c r="BM117" s="13"/>
      <c r="BN117" s="14"/>
    </row>
    <row r="118" spans="1:66" x14ac:dyDescent="0.25">
      <c r="A118" s="4"/>
      <c r="B118" s="3"/>
      <c r="O118" s="2" t="s">
        <v>116</v>
      </c>
      <c r="P118" s="27">
        <f>SQRT(AVERAGE(P104:P115))</f>
        <v>0.49807207604306764</v>
      </c>
      <c r="AE118" s="2" t="s">
        <v>116</v>
      </c>
      <c r="AF118" s="5" t="e">
        <f>SQRT(AVERAGE(AF104:AF115))</f>
        <v>#DIV/0!</v>
      </c>
      <c r="AT118" s="2" t="s">
        <v>116</v>
      </c>
      <c r="AU118" s="5" t="e">
        <f>SQRT(AVERAGE(AU104:AU115))</f>
        <v>#DIV/0!</v>
      </c>
      <c r="BI118" s="2" t="s">
        <v>116</v>
      </c>
      <c r="BJ118" s="5" t="e">
        <f>SQRT(AVERAGE(BJ104:BJ115))</f>
        <v>#DIV/0!</v>
      </c>
    </row>
    <row r="119" spans="1:66" x14ac:dyDescent="0.25">
      <c r="A119" s="4"/>
      <c r="B119" s="3"/>
      <c r="O119" s="2" t="s">
        <v>117</v>
      </c>
      <c r="P119" s="27">
        <f>2.77*P118</f>
        <v>1.3796596506392973</v>
      </c>
      <c r="AE119" s="2" t="s">
        <v>117</v>
      </c>
      <c r="AF119" s="5" t="e">
        <f>2.77*AF118</f>
        <v>#DIV/0!</v>
      </c>
      <c r="AT119" s="2" t="s">
        <v>117</v>
      </c>
      <c r="AU119" s="5" t="e">
        <f>2.77*AU118</f>
        <v>#DIV/0!</v>
      </c>
      <c r="BI119" s="2" t="s">
        <v>117</v>
      </c>
      <c r="BJ119" s="5" t="e">
        <f>2.77*BJ118</f>
        <v>#DIV/0!</v>
      </c>
    </row>
    <row r="120" spans="1:66" x14ac:dyDescent="0.25">
      <c r="A120" s="4"/>
      <c r="B120" s="3"/>
      <c r="O120" s="2" t="s">
        <v>118</v>
      </c>
      <c r="P120" s="27">
        <f>P119-(1.96*(P118/(SQRT(2*P117*(P116-1)))))</f>
        <v>1.2492065962662309</v>
      </c>
      <c r="AE120" s="2" t="s">
        <v>118</v>
      </c>
      <c r="AF120" s="5" t="e">
        <f>AF119-(1.96*(AF118/(SQRT(2*AF117*(AF116-1)))))</f>
        <v>#DIV/0!</v>
      </c>
      <c r="AT120" s="2" t="s">
        <v>118</v>
      </c>
      <c r="AU120" s="5" t="e">
        <f>AU119-(1.96*(AU118/(SQRT(2*AU117*(AU116-1)))))</f>
        <v>#DIV/0!</v>
      </c>
      <c r="BI120" s="2" t="s">
        <v>118</v>
      </c>
      <c r="BJ120" s="5" t="e">
        <f>BJ119-(1.96*(BJ118/(SQRT(2*BJ117*(BJ116-1)))))</f>
        <v>#DIV/0!</v>
      </c>
    </row>
    <row r="121" spans="1:66" x14ac:dyDescent="0.25">
      <c r="A121" s="4"/>
      <c r="B121" s="3"/>
      <c r="O121" s="2" t="s">
        <v>119</v>
      </c>
      <c r="P121" s="27">
        <f>P119+(1.96*(P118/(SQRT(2*P117*(P116-1)))))</f>
        <v>1.5101127050123637</v>
      </c>
      <c r="AE121" s="2" t="s">
        <v>119</v>
      </c>
      <c r="AF121" s="5" t="e">
        <f>AF119+(1.96*(AF118/(SQRT(2*AF117*(AF116-1)))))</f>
        <v>#DIV/0!</v>
      </c>
      <c r="AT121" s="2" t="s">
        <v>119</v>
      </c>
      <c r="AU121" s="5" t="e">
        <f>AU119+(1.96*(AU118/(SQRT(2*AU117*(AU116-1)))))</f>
        <v>#DIV/0!</v>
      </c>
      <c r="BI121" s="2" t="s">
        <v>119</v>
      </c>
      <c r="BJ121" s="5" t="e">
        <f>BJ119+(1.96*(BJ118/(SQRT(2*BJ117*(BJ116-1)))))</f>
        <v>#DIV/0!</v>
      </c>
    </row>
    <row r="125" spans="1:66" x14ac:dyDescent="0.25">
      <c r="B125" s="3" t="s">
        <v>166</v>
      </c>
      <c r="C125" t="s">
        <v>174</v>
      </c>
      <c r="F125">
        <v>1.59</v>
      </c>
      <c r="G125">
        <v>1.37</v>
      </c>
      <c r="H125">
        <v>1.44</v>
      </c>
      <c r="I125">
        <v>1.0900000000000001</v>
      </c>
      <c r="J125">
        <v>3.59</v>
      </c>
      <c r="K125">
        <v>3.03</v>
      </c>
      <c r="L125">
        <v>2.31</v>
      </c>
      <c r="M125">
        <v>1.57</v>
      </c>
      <c r="N125">
        <v>1.71</v>
      </c>
      <c r="O125">
        <v>1.55</v>
      </c>
      <c r="P125" s="5">
        <f t="shared" ref="P125" si="33">IFERROR(STDEVA(D125:H125),#N/A)</f>
        <v>0.11239810200058244</v>
      </c>
      <c r="Q125">
        <f t="shared" ref="Q125" si="34">MEDIAN(D125:H125)</f>
        <v>1.44</v>
      </c>
      <c r="R125" s="2">
        <f>MAX(J125:O125)</f>
        <v>3.59</v>
      </c>
      <c r="S125" s="27">
        <f>100*(R125-Q125)/Q125</f>
        <v>149.30555555555557</v>
      </c>
      <c r="T125">
        <v>1.61</v>
      </c>
      <c r="U125">
        <v>1.75</v>
      </c>
      <c r="V125">
        <v>1.45</v>
      </c>
      <c r="W125">
        <v>1.95</v>
      </c>
      <c r="X125">
        <v>1.37</v>
      </c>
      <c r="Y125">
        <v>2.2400000000000002</v>
      </c>
      <c r="Z125">
        <v>2.57</v>
      </c>
      <c r="AA125">
        <v>2.2799999999999998</v>
      </c>
      <c r="AB125">
        <v>2.4500000000000002</v>
      </c>
      <c r="AC125">
        <v>2.54</v>
      </c>
      <c r="AD125">
        <v>2.4300000000000002</v>
      </c>
      <c r="AE125">
        <v>2.59</v>
      </c>
      <c r="AI125">
        <v>1.81</v>
      </c>
      <c r="AJ125">
        <v>2.16</v>
      </c>
      <c r="AK125">
        <v>2.2000000000000002</v>
      </c>
      <c r="AL125">
        <v>2.2999999999999998</v>
      </c>
      <c r="AM125">
        <v>2.59</v>
      </c>
      <c r="AN125">
        <v>2.36</v>
      </c>
      <c r="AO125">
        <v>2.27</v>
      </c>
      <c r="AP125">
        <v>2.42</v>
      </c>
      <c r="AQ125">
        <v>2.83</v>
      </c>
      <c r="AR125">
        <v>3.7</v>
      </c>
      <c r="AS125">
        <v>3.51</v>
      </c>
      <c r="AT125">
        <v>3.26</v>
      </c>
      <c r="AX125">
        <v>1.87</v>
      </c>
      <c r="AY125">
        <v>1.7</v>
      </c>
      <c r="AZ125">
        <v>1.69</v>
      </c>
      <c r="BA125">
        <v>2.1800000000000002</v>
      </c>
      <c r="BB125">
        <v>1.9</v>
      </c>
      <c r="BC125">
        <v>2.16</v>
      </c>
      <c r="BD125">
        <v>2.67</v>
      </c>
      <c r="BE125">
        <v>2.97</v>
      </c>
      <c r="BF125">
        <v>2.98</v>
      </c>
      <c r="BG125">
        <v>2.61</v>
      </c>
      <c r="BH125">
        <v>2.92</v>
      </c>
      <c r="BI125">
        <v>2.58</v>
      </c>
    </row>
    <row r="126" spans="1:66" x14ac:dyDescent="0.25">
      <c r="B126" s="3" t="s">
        <v>166</v>
      </c>
      <c r="C126" t="s">
        <v>175</v>
      </c>
      <c r="D126">
        <v>1.95</v>
      </c>
      <c r="E126">
        <v>2.37</v>
      </c>
      <c r="F126">
        <v>2.29</v>
      </c>
      <c r="G126">
        <v>2.62</v>
      </c>
      <c r="H126">
        <v>2.59</v>
      </c>
      <c r="I126">
        <v>1.96</v>
      </c>
      <c r="J126">
        <v>4.2699999999999996</v>
      </c>
      <c r="K126">
        <v>4.43</v>
      </c>
      <c r="L126">
        <v>4.33</v>
      </c>
      <c r="M126">
        <v>4.07</v>
      </c>
      <c r="N126">
        <v>3.74</v>
      </c>
      <c r="O126">
        <v>3.7</v>
      </c>
      <c r="P126" s="5">
        <f>IFERROR(STDEVA(D126:H126),#N/A)</f>
        <v>0.27088743049466013</v>
      </c>
      <c r="Q126">
        <f>MEDIAN(D126:H126)</f>
        <v>2.37</v>
      </c>
      <c r="R126" s="2">
        <f>MAX(J126:O126)</f>
        <v>4.43</v>
      </c>
      <c r="S126" s="27">
        <f>100*(R126-Q126)/Q126</f>
        <v>86.919831223628677</v>
      </c>
      <c r="T126">
        <v>1.86</v>
      </c>
      <c r="U126">
        <v>1.82</v>
      </c>
      <c r="V126">
        <v>1.91</v>
      </c>
      <c r="W126">
        <v>1.95</v>
      </c>
      <c r="X126">
        <v>2.2200000000000002</v>
      </c>
      <c r="Y126">
        <v>1.78</v>
      </c>
      <c r="Z126">
        <v>2.25</v>
      </c>
      <c r="AA126">
        <v>2.14</v>
      </c>
      <c r="AB126">
        <v>2.6</v>
      </c>
      <c r="AC126">
        <v>2.92</v>
      </c>
      <c r="AD126">
        <v>3.13</v>
      </c>
      <c r="AE126">
        <v>2.98</v>
      </c>
      <c r="AI126">
        <v>2.39</v>
      </c>
      <c r="AJ126">
        <v>2.35</v>
      </c>
      <c r="AK126">
        <v>2.63</v>
      </c>
      <c r="AL126">
        <v>2.64</v>
      </c>
      <c r="AM126">
        <v>2.1800000000000002</v>
      </c>
      <c r="AN126">
        <v>1.43</v>
      </c>
      <c r="AO126">
        <v>3.92</v>
      </c>
      <c r="AP126">
        <v>4.04</v>
      </c>
      <c r="AQ126">
        <v>3.16</v>
      </c>
      <c r="AR126">
        <v>2.63</v>
      </c>
      <c r="AS126">
        <v>2.52</v>
      </c>
      <c r="AT126">
        <v>2.74</v>
      </c>
      <c r="AX126">
        <v>1.75</v>
      </c>
      <c r="AY126">
        <v>1.46</v>
      </c>
      <c r="AZ126">
        <v>2.42</v>
      </c>
      <c r="BA126">
        <v>1.77</v>
      </c>
      <c r="BB126">
        <v>2.25</v>
      </c>
      <c r="BC126">
        <v>1.02</v>
      </c>
      <c r="BD126">
        <v>3.01</v>
      </c>
      <c r="BE126">
        <v>2.4300000000000002</v>
      </c>
      <c r="BF126">
        <v>1.91</v>
      </c>
      <c r="BG126">
        <v>1.93</v>
      </c>
      <c r="BH126">
        <v>2.33</v>
      </c>
      <c r="BI126">
        <v>2.15</v>
      </c>
    </row>
    <row r="127" spans="1:66" x14ac:dyDescent="0.25">
      <c r="B127" s="3" t="s">
        <v>166</v>
      </c>
      <c r="C127" t="s">
        <v>176</v>
      </c>
      <c r="D127">
        <v>2.0099999999999998</v>
      </c>
      <c r="E127">
        <v>2.5299999999999998</v>
      </c>
      <c r="F127">
        <v>2.5099999999999998</v>
      </c>
      <c r="G127">
        <v>2.63</v>
      </c>
      <c r="H127">
        <v>2.6</v>
      </c>
      <c r="I127">
        <v>2.19</v>
      </c>
      <c r="J127">
        <v>3.07</v>
      </c>
      <c r="K127">
        <v>3.21</v>
      </c>
      <c r="L127">
        <v>2.29</v>
      </c>
      <c r="M127">
        <v>2.78</v>
      </c>
      <c r="N127">
        <v>3.26</v>
      </c>
      <c r="O127">
        <v>2.65</v>
      </c>
      <c r="P127" s="5">
        <f>IFERROR(STDEVA(D127:H127),#N/A)</f>
        <v>0.2541259530232991</v>
      </c>
      <c r="Q127">
        <f>MEDIAN(D127:H127)</f>
        <v>2.5299999999999998</v>
      </c>
      <c r="R127" s="2">
        <f>MAX(J127:O127)</f>
        <v>3.26</v>
      </c>
      <c r="S127" s="27">
        <f>100*(R127-Q127)/Q127</f>
        <v>28.853754940711465</v>
      </c>
      <c r="T127">
        <v>1.77</v>
      </c>
      <c r="U127">
        <v>1.72</v>
      </c>
      <c r="V127">
        <v>1.93</v>
      </c>
      <c r="W127">
        <v>2.88</v>
      </c>
      <c r="X127">
        <v>2.4500000000000002</v>
      </c>
      <c r="Y127">
        <v>2.21</v>
      </c>
      <c r="Z127">
        <v>2.8</v>
      </c>
      <c r="AA127">
        <v>3.94</v>
      </c>
      <c r="AB127">
        <v>3.1</v>
      </c>
      <c r="AC127">
        <v>2.59</v>
      </c>
      <c r="AD127">
        <v>2.82</v>
      </c>
      <c r="AE127">
        <v>2.67</v>
      </c>
      <c r="AI127">
        <v>3.21</v>
      </c>
      <c r="AJ127">
        <v>2.75</v>
      </c>
      <c r="AK127">
        <v>2.8</v>
      </c>
      <c r="AL127">
        <v>2.79</v>
      </c>
      <c r="AM127">
        <v>3</v>
      </c>
      <c r="AN127">
        <v>1.81</v>
      </c>
      <c r="AO127">
        <v>4.8</v>
      </c>
      <c r="AP127">
        <v>4.13</v>
      </c>
      <c r="AQ127">
        <v>3.8</v>
      </c>
      <c r="AR127">
        <v>2.92</v>
      </c>
      <c r="AS127">
        <v>2.98</v>
      </c>
      <c r="AT127">
        <v>2.99</v>
      </c>
      <c r="AX127">
        <v>2.72</v>
      </c>
      <c r="AY127">
        <v>3.14</v>
      </c>
      <c r="AZ127">
        <v>3.1</v>
      </c>
      <c r="BA127">
        <v>3.23</v>
      </c>
      <c r="BB127">
        <v>3.03</v>
      </c>
      <c r="BC127">
        <v>1.91</v>
      </c>
      <c r="BD127">
        <v>4.88</v>
      </c>
      <c r="BE127">
        <v>4.08</v>
      </c>
      <c r="BF127">
        <v>3.38</v>
      </c>
      <c r="BG127">
        <v>3.19</v>
      </c>
      <c r="BH127">
        <v>2.93</v>
      </c>
      <c r="BI127">
        <v>3.14</v>
      </c>
    </row>
    <row r="128" spans="1:66" x14ac:dyDescent="0.25">
      <c r="B128" s="3" t="s">
        <v>166</v>
      </c>
      <c r="C128" t="s">
        <v>177</v>
      </c>
      <c r="D128">
        <v>2.04</v>
      </c>
      <c r="E128">
        <v>2.09</v>
      </c>
      <c r="F128">
        <v>2.57</v>
      </c>
      <c r="G128">
        <v>2.16</v>
      </c>
      <c r="H128">
        <v>2.52</v>
      </c>
      <c r="I128">
        <v>1.94</v>
      </c>
      <c r="J128">
        <v>4.09</v>
      </c>
      <c r="K128">
        <v>3.57</v>
      </c>
      <c r="L128">
        <v>2.83</v>
      </c>
      <c r="M128">
        <v>2.74</v>
      </c>
      <c r="N128">
        <v>2.48</v>
      </c>
      <c r="O128">
        <v>2.4500000000000002</v>
      </c>
      <c r="P128" s="5">
        <f>IFERROR(STDEVA(D128:H128),#N/A)</f>
        <v>0.24985996077803257</v>
      </c>
      <c r="Q128">
        <f>MEDIAN(D128:H128)</f>
        <v>2.16</v>
      </c>
      <c r="R128" s="2">
        <f>MAX(J128:O128)</f>
        <v>4.09</v>
      </c>
      <c r="S128" s="27">
        <f>100*(R128-Q128)/Q128</f>
        <v>89.351851851851833</v>
      </c>
    </row>
    <row r="129" spans="2:61" x14ac:dyDescent="0.25">
      <c r="B129" s="3" t="s">
        <v>166</v>
      </c>
      <c r="C129" t="s">
        <v>178</v>
      </c>
      <c r="D129">
        <v>2.37</v>
      </c>
      <c r="E129">
        <v>2.16</v>
      </c>
      <c r="F129">
        <v>2.14</v>
      </c>
      <c r="G129">
        <v>2.21</v>
      </c>
      <c r="H129">
        <v>2.31</v>
      </c>
      <c r="I129">
        <v>1.51</v>
      </c>
      <c r="J129">
        <v>3.96</v>
      </c>
      <c r="K129">
        <v>3.41</v>
      </c>
      <c r="L129">
        <v>3.05</v>
      </c>
      <c r="M129">
        <v>2.59</v>
      </c>
      <c r="N129">
        <v>2.42</v>
      </c>
      <c r="O129">
        <v>2.44</v>
      </c>
      <c r="P129" s="5">
        <f>IFERROR(STDEVA(D129:H129),#N/A)</f>
        <v>9.8843310345212529E-2</v>
      </c>
      <c r="Q129">
        <f>MEDIAN(D129:H129)</f>
        <v>2.21</v>
      </c>
      <c r="R129" s="2">
        <f>MAX(J129:O129)</f>
        <v>3.96</v>
      </c>
      <c r="S129" s="27">
        <f>100*(R129-Q129)/Q129</f>
        <v>79.185520361990953</v>
      </c>
      <c r="T129">
        <v>1.97</v>
      </c>
      <c r="U129">
        <v>2.2200000000000002</v>
      </c>
      <c r="V129">
        <v>2.57</v>
      </c>
      <c r="W129">
        <v>2.5099999999999998</v>
      </c>
      <c r="X129">
        <v>2.4900000000000002</v>
      </c>
      <c r="Y129">
        <v>1.44</v>
      </c>
      <c r="Z129">
        <v>3.89</v>
      </c>
      <c r="AA129">
        <v>3.5</v>
      </c>
      <c r="AB129">
        <v>3.16</v>
      </c>
      <c r="AC129">
        <v>2.75</v>
      </c>
      <c r="AD129">
        <v>2.68</v>
      </c>
      <c r="AE129">
        <v>2.7</v>
      </c>
      <c r="AI129">
        <v>1.99</v>
      </c>
      <c r="AJ129">
        <v>2.4300000000000002</v>
      </c>
      <c r="AK129">
        <v>2.81</v>
      </c>
      <c r="AL129">
        <v>2.4700000000000002</v>
      </c>
      <c r="AM129">
        <v>2.9</v>
      </c>
      <c r="AN129">
        <v>1.99</v>
      </c>
      <c r="AO129">
        <v>4.6900000000000004</v>
      </c>
      <c r="AP129">
        <v>3.75</v>
      </c>
      <c r="AQ129">
        <v>2.79</v>
      </c>
      <c r="AR129">
        <v>2.68</v>
      </c>
      <c r="AS129">
        <v>2.81</v>
      </c>
      <c r="AT129">
        <v>3.04</v>
      </c>
      <c r="AX129">
        <v>2.85</v>
      </c>
      <c r="AY129">
        <v>2.42</v>
      </c>
      <c r="AZ129">
        <v>2.57</v>
      </c>
      <c r="BA129">
        <v>2.66</v>
      </c>
      <c r="BB129">
        <v>2.68</v>
      </c>
      <c r="BC129">
        <v>1.74</v>
      </c>
      <c r="BD129">
        <v>3.65</v>
      </c>
      <c r="BE129">
        <v>3.49</v>
      </c>
      <c r="BF129">
        <v>3.54</v>
      </c>
      <c r="BG129">
        <v>3.19</v>
      </c>
      <c r="BH129">
        <v>3.7</v>
      </c>
      <c r="BI129">
        <v>3.41</v>
      </c>
    </row>
  </sheetData>
  <mergeCells count="22">
    <mergeCell ref="AU1:AU2"/>
    <mergeCell ref="A104:A115"/>
    <mergeCell ref="AX1:BI1"/>
    <mergeCell ref="BJ1:BJ2"/>
    <mergeCell ref="D2:H2"/>
    <mergeCell ref="J2:O2"/>
    <mergeCell ref="T2:X2"/>
    <mergeCell ref="Z2:AE2"/>
    <mergeCell ref="AI2:AM2"/>
    <mergeCell ref="AO2:AT2"/>
    <mergeCell ref="AX2:BB2"/>
    <mergeCell ref="BD2:BI2"/>
    <mergeCell ref="D1:O1"/>
    <mergeCell ref="P1:P2"/>
    <mergeCell ref="T1:AE1"/>
    <mergeCell ref="AF1:AF2"/>
    <mergeCell ref="A81:A92"/>
    <mergeCell ref="AI1:AT1"/>
    <mergeCell ref="A4:A15"/>
    <mergeCell ref="A23:A32"/>
    <mergeCell ref="A40:A52"/>
    <mergeCell ref="A61:A7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2B6C-EEA0-DD4D-B9D0-B82148064090}">
  <dimension ref="A1:BN132"/>
  <sheetViews>
    <sheetView topLeftCell="C109" workbookViewId="0">
      <pane xSplit="1" topLeftCell="Q1" activePane="topRight" state="frozen"/>
      <selection activeCell="C1" sqref="C1"/>
      <selection pane="topRight" activeCell="Q132" sqref="Q132:S132"/>
    </sheetView>
  </sheetViews>
  <sheetFormatPr defaultColWidth="11.125" defaultRowHeight="15.75" x14ac:dyDescent="0.25"/>
  <cols>
    <col min="2" max="2" width="13.5" bestFit="1" customWidth="1"/>
    <col min="3" max="3" width="12.125" bestFit="1" customWidth="1"/>
    <col min="15" max="15" width="17.125" bestFit="1" customWidth="1"/>
    <col min="16" max="16" width="16.125" customWidth="1"/>
    <col min="32" max="32" width="16.125" customWidth="1"/>
    <col min="47" max="47" width="16.125" customWidth="1"/>
    <col min="62" max="62" width="16.125" customWidth="1"/>
  </cols>
  <sheetData>
    <row r="1" spans="1:66" ht="15.6" customHeight="1" x14ac:dyDescent="0.25">
      <c r="D1" s="69" t="s">
        <v>74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6" t="s">
        <v>75</v>
      </c>
      <c r="Q1" s="6"/>
      <c r="R1" s="6"/>
      <c r="S1" s="6"/>
      <c r="T1" s="70" t="s">
        <v>76</v>
      </c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66" t="s">
        <v>75</v>
      </c>
      <c r="AG1" s="6"/>
      <c r="AH1" s="6"/>
      <c r="AI1" s="69" t="s">
        <v>77</v>
      </c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6" t="s">
        <v>75</v>
      </c>
      <c r="AV1" s="6"/>
      <c r="AW1" s="6"/>
      <c r="AX1" s="70" t="s">
        <v>78</v>
      </c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66" t="s">
        <v>75</v>
      </c>
      <c r="BK1" s="6"/>
      <c r="BL1" s="6"/>
    </row>
    <row r="2" spans="1:66" s="19" customFormat="1" ht="60" customHeight="1" x14ac:dyDescent="0.25">
      <c r="D2" s="71" t="s">
        <v>79</v>
      </c>
      <c r="E2" s="71"/>
      <c r="F2" s="71"/>
      <c r="G2" s="71"/>
      <c r="H2" s="71"/>
      <c r="I2" s="7" t="s">
        <v>80</v>
      </c>
      <c r="J2" s="72" t="s">
        <v>81</v>
      </c>
      <c r="K2" s="72"/>
      <c r="L2" s="72"/>
      <c r="M2" s="72"/>
      <c r="N2" s="72"/>
      <c r="O2" s="72"/>
      <c r="P2" s="66"/>
      <c r="Q2" s="20" t="s">
        <v>82</v>
      </c>
      <c r="R2" s="20" t="s">
        <v>179</v>
      </c>
      <c r="S2" s="20" t="s">
        <v>84</v>
      </c>
      <c r="T2" s="71" t="s">
        <v>79</v>
      </c>
      <c r="U2" s="71"/>
      <c r="V2" s="71"/>
      <c r="W2" s="71"/>
      <c r="X2" s="71"/>
      <c r="Y2" s="7" t="s">
        <v>80</v>
      </c>
      <c r="Z2" s="72" t="s">
        <v>81</v>
      </c>
      <c r="AA2" s="72"/>
      <c r="AB2" s="72"/>
      <c r="AC2" s="72"/>
      <c r="AD2" s="72"/>
      <c r="AE2" s="72"/>
      <c r="AF2" s="66"/>
      <c r="AG2" s="20"/>
      <c r="AH2" s="20"/>
      <c r="AI2" s="71" t="s">
        <v>79</v>
      </c>
      <c r="AJ2" s="71"/>
      <c r="AK2" s="71"/>
      <c r="AL2" s="71"/>
      <c r="AM2" s="71"/>
      <c r="AN2" s="7" t="s">
        <v>80</v>
      </c>
      <c r="AO2" s="72" t="s">
        <v>81</v>
      </c>
      <c r="AP2" s="72"/>
      <c r="AQ2" s="72"/>
      <c r="AR2" s="72"/>
      <c r="AS2" s="72"/>
      <c r="AT2" s="72"/>
      <c r="AU2" s="66"/>
      <c r="AV2" s="20"/>
      <c r="AW2" s="20"/>
      <c r="AX2" s="71" t="s">
        <v>79</v>
      </c>
      <c r="AY2" s="71"/>
      <c r="AZ2" s="71"/>
      <c r="BA2" s="71"/>
      <c r="BB2" s="71"/>
      <c r="BC2" s="7" t="s">
        <v>80</v>
      </c>
      <c r="BD2" s="72" t="s">
        <v>81</v>
      </c>
      <c r="BE2" s="72"/>
      <c r="BF2" s="72"/>
      <c r="BG2" s="72"/>
      <c r="BH2" s="72"/>
      <c r="BI2" s="72"/>
      <c r="BJ2" s="66"/>
      <c r="BK2" s="20"/>
      <c r="BL2" s="20"/>
    </row>
    <row r="3" spans="1:66" x14ac:dyDescent="0.25">
      <c r="A3" s="1" t="s">
        <v>85</v>
      </c>
      <c r="B3" s="1" t="s">
        <v>86</v>
      </c>
      <c r="C3" s="1" t="s">
        <v>0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  <c r="M3" s="2" t="s">
        <v>96</v>
      </c>
      <c r="N3" s="2" t="s">
        <v>97</v>
      </c>
      <c r="O3" s="2" t="s">
        <v>98</v>
      </c>
      <c r="P3" s="2" t="s">
        <v>99</v>
      </c>
      <c r="Q3" s="2"/>
      <c r="R3" s="2"/>
      <c r="S3" s="2"/>
      <c r="T3" s="2" t="s">
        <v>87</v>
      </c>
      <c r="U3" s="2" t="s">
        <v>88</v>
      </c>
      <c r="V3" s="2" t="s">
        <v>89</v>
      </c>
      <c r="W3" s="2" t="s">
        <v>90</v>
      </c>
      <c r="X3" s="2" t="s">
        <v>91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/>
      <c r="AH3" s="2"/>
      <c r="AI3" s="2" t="s">
        <v>87</v>
      </c>
      <c r="AJ3" s="2" t="s">
        <v>88</v>
      </c>
      <c r="AK3" s="2" t="s">
        <v>89</v>
      </c>
      <c r="AL3" s="2" t="s">
        <v>90</v>
      </c>
      <c r="AM3" s="2" t="s">
        <v>91</v>
      </c>
      <c r="AN3" s="2" t="s">
        <v>92</v>
      </c>
      <c r="AO3" s="2" t="s">
        <v>93</v>
      </c>
      <c r="AP3" s="2" t="s">
        <v>94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99</v>
      </c>
      <c r="AV3" s="2"/>
      <c r="AW3" s="2"/>
      <c r="AX3" s="2" t="s">
        <v>87</v>
      </c>
      <c r="AY3" s="2" t="s">
        <v>88</v>
      </c>
      <c r="AZ3" s="2" t="s">
        <v>89</v>
      </c>
      <c r="BA3" s="2" t="s">
        <v>90</v>
      </c>
      <c r="BB3" s="2" t="s">
        <v>91</v>
      </c>
      <c r="BC3" s="2" t="s">
        <v>92</v>
      </c>
      <c r="BD3" s="2" t="s">
        <v>93</v>
      </c>
      <c r="BE3" s="2" t="s">
        <v>94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99</v>
      </c>
      <c r="BK3" s="2"/>
      <c r="BL3" s="2"/>
    </row>
    <row r="4" spans="1:66" x14ac:dyDescent="0.25">
      <c r="A4" s="68"/>
      <c r="B4" s="3" t="s">
        <v>100</v>
      </c>
      <c r="C4" s="21" t="s">
        <v>101</v>
      </c>
      <c r="D4">
        <v>62</v>
      </c>
      <c r="E4">
        <v>63</v>
      </c>
      <c r="F4">
        <v>65</v>
      </c>
      <c r="G4">
        <v>61</v>
      </c>
      <c r="H4">
        <v>62</v>
      </c>
      <c r="I4">
        <v>60</v>
      </c>
      <c r="J4">
        <v>68</v>
      </c>
      <c r="K4">
        <v>70</v>
      </c>
      <c r="L4">
        <v>70</v>
      </c>
      <c r="M4">
        <v>66</v>
      </c>
      <c r="P4" s="5">
        <f t="shared" ref="P4:P12" si="0">IFERROR(STDEVA(D4:H4),#N/A)</f>
        <v>1.51657508881031</v>
      </c>
      <c r="Q4">
        <f>MEDIAN(D4:H4)</f>
        <v>62</v>
      </c>
      <c r="R4" s="2">
        <f>MAX(J4:O4)</f>
        <v>70</v>
      </c>
      <c r="S4" s="27">
        <f t="shared" ref="S4:S12" si="1">100*(R4-Q4)/Q4</f>
        <v>12.903225806451612</v>
      </c>
      <c r="AF4" s="5" t="e">
        <f t="shared" ref="AF4:AF15" si="2">IFERROR(STDEVA(T4:X4),#N/A)</f>
        <v>#N/A</v>
      </c>
      <c r="AU4" s="5" t="e">
        <f t="shared" ref="AU4:AU13" si="3">IFERROR(STDEVA(AI4:AM4),#N/A)</f>
        <v>#N/A</v>
      </c>
      <c r="BJ4" s="5" t="e">
        <f t="shared" ref="BJ4:BJ13" si="4">IFERROR(STDEVA(AX4:BB4),#N/A)</f>
        <v>#N/A</v>
      </c>
    </row>
    <row r="5" spans="1:66" x14ac:dyDescent="0.25">
      <c r="A5" s="68"/>
      <c r="B5" s="3" t="s">
        <v>100</v>
      </c>
      <c r="C5" s="21" t="s">
        <v>102</v>
      </c>
      <c r="D5">
        <v>63</v>
      </c>
      <c r="E5">
        <v>66</v>
      </c>
      <c r="F5">
        <v>70</v>
      </c>
      <c r="G5">
        <v>69</v>
      </c>
      <c r="H5">
        <v>68</v>
      </c>
      <c r="I5">
        <v>50</v>
      </c>
      <c r="J5">
        <v>71</v>
      </c>
      <c r="K5">
        <v>73</v>
      </c>
      <c r="L5">
        <v>69</v>
      </c>
      <c r="M5">
        <v>68</v>
      </c>
      <c r="P5" s="5">
        <f t="shared" si="0"/>
        <v>2.7748873851023217</v>
      </c>
      <c r="Q5">
        <f t="shared" ref="Q5:Q12" si="5">MEDIAN(D5:H5)</f>
        <v>68</v>
      </c>
      <c r="R5" s="2">
        <f t="shared" ref="R5:R12" si="6">MAX(J5:O5)</f>
        <v>73</v>
      </c>
      <c r="S5" s="27">
        <f t="shared" si="1"/>
        <v>7.3529411764705879</v>
      </c>
      <c r="AF5" s="5" t="e">
        <f t="shared" si="2"/>
        <v>#N/A</v>
      </c>
      <c r="AU5" s="5" t="e">
        <f t="shared" si="3"/>
        <v>#N/A</v>
      </c>
      <c r="BJ5" s="5" t="e">
        <f t="shared" si="4"/>
        <v>#N/A</v>
      </c>
    </row>
    <row r="6" spans="1:66" x14ac:dyDescent="0.25">
      <c r="A6" s="68"/>
      <c r="B6" s="3" t="s">
        <v>100</v>
      </c>
      <c r="C6" s="21" t="s">
        <v>103</v>
      </c>
      <c r="D6">
        <v>69</v>
      </c>
      <c r="E6">
        <v>70</v>
      </c>
      <c r="F6">
        <v>70</v>
      </c>
      <c r="G6">
        <v>70</v>
      </c>
      <c r="H6">
        <v>72</v>
      </c>
      <c r="I6">
        <v>56</v>
      </c>
      <c r="J6">
        <v>70</v>
      </c>
      <c r="K6">
        <v>73</v>
      </c>
      <c r="L6">
        <v>71</v>
      </c>
      <c r="M6">
        <v>71</v>
      </c>
      <c r="P6" s="5">
        <f t="shared" si="0"/>
        <v>1.0954451150103321</v>
      </c>
      <c r="Q6">
        <f t="shared" si="5"/>
        <v>70</v>
      </c>
      <c r="R6" s="2">
        <f t="shared" si="6"/>
        <v>73</v>
      </c>
      <c r="S6" s="27">
        <f t="shared" si="1"/>
        <v>4.2857142857142856</v>
      </c>
      <c r="AF6" s="5" t="e">
        <f t="shared" si="2"/>
        <v>#N/A</v>
      </c>
      <c r="AU6" s="5" t="e">
        <f t="shared" si="3"/>
        <v>#N/A</v>
      </c>
      <c r="BJ6" s="5" t="e">
        <f t="shared" si="4"/>
        <v>#N/A</v>
      </c>
    </row>
    <row r="7" spans="1:66" x14ac:dyDescent="0.25">
      <c r="A7" s="68"/>
      <c r="B7" s="3" t="s">
        <v>100</v>
      </c>
      <c r="C7" s="21" t="s">
        <v>104</v>
      </c>
      <c r="D7">
        <v>65</v>
      </c>
      <c r="E7">
        <v>68</v>
      </c>
      <c r="F7">
        <v>66</v>
      </c>
      <c r="G7">
        <v>68</v>
      </c>
      <c r="H7">
        <v>67</v>
      </c>
      <c r="I7">
        <v>67</v>
      </c>
      <c r="J7">
        <v>73</v>
      </c>
      <c r="K7">
        <v>78</v>
      </c>
      <c r="L7">
        <v>75</v>
      </c>
      <c r="M7">
        <v>75</v>
      </c>
      <c r="P7" s="5">
        <f t="shared" si="0"/>
        <v>1.3038404810405297</v>
      </c>
      <c r="Q7">
        <f t="shared" si="5"/>
        <v>67</v>
      </c>
      <c r="R7" s="2">
        <f t="shared" si="6"/>
        <v>78</v>
      </c>
      <c r="S7" s="27">
        <f t="shared" si="1"/>
        <v>16.417910447761194</v>
      </c>
      <c r="AF7" s="5" t="e">
        <f t="shared" si="2"/>
        <v>#N/A</v>
      </c>
      <c r="AU7" s="5" t="e">
        <f t="shared" si="3"/>
        <v>#N/A</v>
      </c>
      <c r="BJ7" s="5" t="e">
        <f t="shared" si="4"/>
        <v>#N/A</v>
      </c>
    </row>
    <row r="8" spans="1:66" x14ac:dyDescent="0.25">
      <c r="A8" s="68"/>
      <c r="B8" s="3" t="s">
        <v>100</v>
      </c>
      <c r="C8" s="21" t="s">
        <v>105</v>
      </c>
      <c r="D8">
        <v>59</v>
      </c>
      <c r="E8">
        <v>57</v>
      </c>
      <c r="F8">
        <v>60</v>
      </c>
      <c r="G8">
        <v>60</v>
      </c>
      <c r="H8">
        <v>58</v>
      </c>
      <c r="I8">
        <v>52</v>
      </c>
      <c r="J8">
        <v>72</v>
      </c>
      <c r="K8">
        <v>72</v>
      </c>
      <c r="L8">
        <v>72</v>
      </c>
      <c r="M8">
        <v>71</v>
      </c>
      <c r="P8" s="5">
        <f t="shared" si="0"/>
        <v>1.3038404810405297</v>
      </c>
      <c r="Q8">
        <f t="shared" si="5"/>
        <v>59</v>
      </c>
      <c r="R8" s="2">
        <f t="shared" si="6"/>
        <v>72</v>
      </c>
      <c r="S8" s="27">
        <f t="shared" si="1"/>
        <v>22.033898305084747</v>
      </c>
      <c r="AF8" s="5" t="e">
        <f t="shared" si="2"/>
        <v>#N/A</v>
      </c>
      <c r="AU8" s="5" t="e">
        <f t="shared" si="3"/>
        <v>#N/A</v>
      </c>
      <c r="BJ8" s="5" t="e">
        <f>IFERROR(STDEVA(AX8:BB8),#N/A)</f>
        <v>#N/A</v>
      </c>
    </row>
    <row r="9" spans="1:66" x14ac:dyDescent="0.25">
      <c r="A9" s="68"/>
      <c r="B9" s="3" t="s">
        <v>100</v>
      </c>
      <c r="C9" s="21" t="s">
        <v>106</v>
      </c>
      <c r="D9">
        <v>63</v>
      </c>
      <c r="E9">
        <v>62</v>
      </c>
      <c r="F9">
        <v>61</v>
      </c>
      <c r="G9">
        <v>62</v>
      </c>
      <c r="H9">
        <v>58</v>
      </c>
      <c r="I9">
        <v>54</v>
      </c>
      <c r="J9">
        <v>70</v>
      </c>
      <c r="K9">
        <v>60</v>
      </c>
      <c r="L9">
        <v>57</v>
      </c>
      <c r="M9">
        <v>55</v>
      </c>
      <c r="P9" s="5">
        <f t="shared" si="0"/>
        <v>1.9235384061671343</v>
      </c>
      <c r="Q9">
        <f t="shared" si="5"/>
        <v>62</v>
      </c>
      <c r="R9" s="2">
        <f t="shared" si="6"/>
        <v>70</v>
      </c>
      <c r="S9" s="27">
        <f t="shared" si="1"/>
        <v>12.903225806451612</v>
      </c>
      <c r="AF9" s="5" t="e">
        <f t="shared" si="2"/>
        <v>#N/A</v>
      </c>
      <c r="AU9" s="5" t="e">
        <f t="shared" si="3"/>
        <v>#N/A</v>
      </c>
      <c r="BJ9" s="5" t="e">
        <f t="shared" si="4"/>
        <v>#N/A</v>
      </c>
    </row>
    <row r="10" spans="1:66" x14ac:dyDescent="0.25">
      <c r="A10" s="68"/>
      <c r="B10" s="3" t="s">
        <v>100</v>
      </c>
      <c r="C10" s="21" t="s">
        <v>107</v>
      </c>
      <c r="D10">
        <v>55</v>
      </c>
      <c r="E10">
        <v>59</v>
      </c>
      <c r="F10">
        <v>65</v>
      </c>
      <c r="G10">
        <v>63</v>
      </c>
      <c r="H10">
        <v>61</v>
      </c>
      <c r="I10">
        <v>60</v>
      </c>
      <c r="J10">
        <v>69</v>
      </c>
      <c r="K10">
        <v>74</v>
      </c>
      <c r="L10">
        <v>72</v>
      </c>
      <c r="M10">
        <v>65</v>
      </c>
      <c r="P10" s="5">
        <f t="shared" si="0"/>
        <v>3.8470768123342691</v>
      </c>
      <c r="Q10">
        <f t="shared" si="5"/>
        <v>61</v>
      </c>
      <c r="R10" s="2">
        <f t="shared" si="6"/>
        <v>74</v>
      </c>
      <c r="S10" s="27">
        <f t="shared" si="1"/>
        <v>21.311475409836067</v>
      </c>
      <c r="AF10" s="5" t="e">
        <f t="shared" si="2"/>
        <v>#N/A</v>
      </c>
      <c r="AU10" s="5" t="e">
        <f t="shared" si="3"/>
        <v>#N/A</v>
      </c>
      <c r="BJ10" s="5" t="e">
        <f t="shared" si="4"/>
        <v>#N/A</v>
      </c>
    </row>
    <row r="11" spans="1:66" x14ac:dyDescent="0.25">
      <c r="A11" s="68"/>
      <c r="B11" s="3" t="s">
        <v>100</v>
      </c>
      <c r="C11" s="21" t="s">
        <v>108</v>
      </c>
      <c r="D11">
        <v>64</v>
      </c>
      <c r="E11">
        <v>64</v>
      </c>
      <c r="F11">
        <v>71</v>
      </c>
      <c r="G11">
        <v>71</v>
      </c>
      <c r="H11">
        <v>72</v>
      </c>
      <c r="I11">
        <v>56</v>
      </c>
      <c r="J11">
        <v>70</v>
      </c>
      <c r="K11">
        <v>75</v>
      </c>
      <c r="L11">
        <v>75</v>
      </c>
      <c r="M11">
        <v>75</v>
      </c>
      <c r="P11" s="5">
        <f t="shared" si="0"/>
        <v>4.0373258476372698</v>
      </c>
      <c r="Q11">
        <f t="shared" si="5"/>
        <v>71</v>
      </c>
      <c r="R11" s="2">
        <f t="shared" si="6"/>
        <v>75</v>
      </c>
      <c r="S11" s="27">
        <f t="shared" si="1"/>
        <v>5.6338028169014081</v>
      </c>
      <c r="AF11" s="5" t="e">
        <f t="shared" si="2"/>
        <v>#N/A</v>
      </c>
      <c r="AU11" s="5" t="e">
        <f t="shared" si="3"/>
        <v>#N/A</v>
      </c>
      <c r="BJ11" s="5" t="e">
        <f t="shared" si="4"/>
        <v>#N/A</v>
      </c>
    </row>
    <row r="12" spans="1:66" x14ac:dyDescent="0.25">
      <c r="A12" s="68"/>
      <c r="B12" s="3" t="s">
        <v>100</v>
      </c>
      <c r="C12" s="21" t="s">
        <v>109</v>
      </c>
      <c r="D12">
        <v>56</v>
      </c>
      <c r="E12">
        <v>54</v>
      </c>
      <c r="F12">
        <v>52</v>
      </c>
      <c r="G12">
        <v>52</v>
      </c>
      <c r="H12">
        <v>50</v>
      </c>
      <c r="I12">
        <v>45</v>
      </c>
      <c r="J12">
        <v>55</v>
      </c>
      <c r="K12">
        <v>59</v>
      </c>
      <c r="L12">
        <v>57</v>
      </c>
      <c r="M12">
        <v>57</v>
      </c>
      <c r="N12">
        <v>55</v>
      </c>
      <c r="O12">
        <v>51</v>
      </c>
      <c r="P12" s="5">
        <f t="shared" si="0"/>
        <v>2.2803508501982757</v>
      </c>
      <c r="Q12">
        <f t="shared" si="5"/>
        <v>52</v>
      </c>
      <c r="R12" s="2">
        <f t="shared" si="6"/>
        <v>59</v>
      </c>
      <c r="S12" s="27">
        <f t="shared" si="1"/>
        <v>13.461538461538462</v>
      </c>
      <c r="AF12" s="5" t="e">
        <f t="shared" si="2"/>
        <v>#N/A</v>
      </c>
      <c r="AU12" s="5" t="e">
        <f t="shared" si="3"/>
        <v>#N/A</v>
      </c>
      <c r="BJ12" s="5" t="e">
        <f t="shared" si="4"/>
        <v>#N/A</v>
      </c>
    </row>
    <row r="13" spans="1:66" x14ac:dyDescent="0.25">
      <c r="A13" s="68"/>
      <c r="B13" s="3"/>
      <c r="P13" s="31" t="s">
        <v>110</v>
      </c>
      <c r="Q13" s="30">
        <f>AVERAGE(Q4:Q12)</f>
        <v>63.555555555555557</v>
      </c>
      <c r="R13" s="30">
        <f>AVERAGE(R4:R12)</f>
        <v>71.555555555555557</v>
      </c>
      <c r="S13" s="29">
        <f>AVERAGE(S4:S12)</f>
        <v>12.922636946245554</v>
      </c>
      <c r="AF13" s="5" t="e">
        <f t="shared" si="2"/>
        <v>#N/A</v>
      </c>
      <c r="AU13" s="5" t="e">
        <f t="shared" si="3"/>
        <v>#N/A</v>
      </c>
      <c r="BJ13" s="5" t="e">
        <f t="shared" si="4"/>
        <v>#N/A</v>
      </c>
    </row>
    <row r="14" spans="1:66" x14ac:dyDescent="0.25">
      <c r="A14" s="68"/>
      <c r="B14" s="3"/>
      <c r="P14" s="31" t="s">
        <v>111</v>
      </c>
      <c r="Q14" s="29">
        <f>STDEVA(Q4:Q12)</f>
        <v>6.0644684662200836</v>
      </c>
      <c r="R14" s="29">
        <f>STDEVA(R4:R12)</f>
        <v>5.3176853778479387</v>
      </c>
      <c r="S14" s="29">
        <f>STDEVA(S4:S12)</f>
        <v>6.3702516293757023</v>
      </c>
      <c r="AF14" s="5" t="e">
        <f t="shared" si="2"/>
        <v>#N/A</v>
      </c>
      <c r="AU14" s="5" t="e">
        <f>IFERROR(STDEVA(AI14:AM14),#N/A)</f>
        <v>#N/A</v>
      </c>
      <c r="BJ14" s="5" t="e">
        <f>IFERROR(STDEVA(AX14:BB14),#N/A)</f>
        <v>#N/A</v>
      </c>
    </row>
    <row r="15" spans="1:66" ht="16.5" thickBot="1" x14ac:dyDescent="0.3">
      <c r="A15" s="68"/>
      <c r="B15" s="3"/>
      <c r="P15" s="31" t="s">
        <v>112</v>
      </c>
      <c r="Q15" s="32">
        <f>Q14/Q13</f>
        <v>9.5419958384581727E-2</v>
      </c>
      <c r="R15" s="32">
        <f>R14/R13</f>
        <v>7.4315478882968092E-2</v>
      </c>
      <c r="S15" s="32">
        <f>S14/S13</f>
        <v>0.49295292097689608</v>
      </c>
      <c r="AF15" s="5" t="e">
        <f t="shared" si="2"/>
        <v>#N/A</v>
      </c>
      <c r="AU15" s="5" t="e">
        <f>IFERROR(STDEVA(AI15:AM15),#N/A)</f>
        <v>#N/A</v>
      </c>
      <c r="BJ15" s="5" t="e">
        <f>IFERROR(STDEVA(AX15:BB15),#N/A)</f>
        <v>#N/A</v>
      </c>
    </row>
    <row r="16" spans="1:66" x14ac:dyDescent="0.25">
      <c r="A16" s="4"/>
      <c r="B16" s="3"/>
      <c r="N16" s="9"/>
      <c r="O16" s="8" t="s">
        <v>113</v>
      </c>
      <c r="P16" s="10">
        <v>5</v>
      </c>
      <c r="Q16" s="15" t="s">
        <v>114</v>
      </c>
      <c r="R16" s="16"/>
      <c r="S16" s="16"/>
      <c r="T16" s="16"/>
      <c r="U16" s="17"/>
      <c r="AC16" s="9"/>
      <c r="AD16" s="9"/>
      <c r="AE16" s="8" t="s">
        <v>113</v>
      </c>
      <c r="AF16" s="10">
        <v>5</v>
      </c>
      <c r="AG16" s="15" t="s">
        <v>114</v>
      </c>
      <c r="AH16" s="16"/>
      <c r="AI16" s="11"/>
      <c r="AJ16" s="12"/>
      <c r="AR16" s="9"/>
      <c r="AS16" s="9"/>
      <c r="AT16" s="8" t="s">
        <v>113</v>
      </c>
      <c r="AU16" s="10">
        <v>5</v>
      </c>
      <c r="AV16" s="15" t="s">
        <v>114</v>
      </c>
      <c r="AW16" s="16"/>
      <c r="AX16" s="11"/>
      <c r="AY16" s="12"/>
      <c r="BG16" s="9"/>
      <c r="BH16" s="9"/>
      <c r="BI16" s="8" t="s">
        <v>113</v>
      </c>
      <c r="BJ16" s="10">
        <v>5</v>
      </c>
      <c r="BK16" s="15" t="s">
        <v>114</v>
      </c>
      <c r="BL16" s="16"/>
      <c r="BM16" s="11"/>
      <c r="BN16" s="12"/>
    </row>
    <row r="17" spans="1:66" ht="16.5" thickBot="1" x14ac:dyDescent="0.3">
      <c r="A17" s="4"/>
      <c r="B17" s="3"/>
      <c r="N17" s="9"/>
      <c r="O17" s="8" t="s">
        <v>115</v>
      </c>
      <c r="P17" s="10">
        <v>9</v>
      </c>
      <c r="Q17" s="18" t="s">
        <v>114</v>
      </c>
      <c r="R17" s="54"/>
      <c r="S17" s="13"/>
      <c r="T17" s="13"/>
      <c r="U17" s="14"/>
      <c r="AC17" s="9"/>
      <c r="AD17" s="9"/>
      <c r="AE17" s="8" t="s">
        <v>115</v>
      </c>
      <c r="AF17" s="10">
        <v>10</v>
      </c>
      <c r="AG17" s="18" t="s">
        <v>114</v>
      </c>
      <c r="AH17" s="13"/>
      <c r="AI17" s="13"/>
      <c r="AJ17" s="14"/>
      <c r="AR17" s="9"/>
      <c r="AS17" s="9"/>
      <c r="AT17" s="8" t="s">
        <v>115</v>
      </c>
      <c r="AU17" s="10">
        <v>10</v>
      </c>
      <c r="AV17" s="18" t="s">
        <v>114</v>
      </c>
      <c r="AW17" s="13"/>
      <c r="AX17" s="13"/>
      <c r="AY17" s="14"/>
      <c r="BG17" s="9"/>
      <c r="BH17" s="9"/>
      <c r="BI17" s="8" t="s">
        <v>115</v>
      </c>
      <c r="BJ17" s="10">
        <v>10</v>
      </c>
      <c r="BK17" s="18" t="s">
        <v>114</v>
      </c>
      <c r="BL17" s="13"/>
      <c r="BM17" s="13"/>
      <c r="BN17" s="14"/>
    </row>
    <row r="18" spans="1:66" x14ac:dyDescent="0.25">
      <c r="A18" s="4"/>
      <c r="B18" s="3"/>
      <c r="O18" s="2" t="s">
        <v>116</v>
      </c>
      <c r="P18" s="5">
        <f>SQRT(AVERAGE(P4:P15))</f>
        <v>1.4937975642763264</v>
      </c>
      <c r="AE18" s="2" t="s">
        <v>116</v>
      </c>
      <c r="AF18" s="5" t="e">
        <f>SQRT(AVERAGE(AF4:AF15))</f>
        <v>#N/A</v>
      </c>
      <c r="AT18" s="2" t="s">
        <v>116</v>
      </c>
      <c r="AU18" s="5" t="e">
        <f>SQRT(AVERAGE(AU4:AU15))</f>
        <v>#N/A</v>
      </c>
      <c r="BI18" s="2" t="s">
        <v>116</v>
      </c>
      <c r="BJ18" s="5" t="e">
        <f>SQRT(AVERAGE(BJ4:BJ15))</f>
        <v>#N/A</v>
      </c>
    </row>
    <row r="19" spans="1:66" x14ac:dyDescent="0.25">
      <c r="A19" s="4"/>
      <c r="B19" s="3"/>
      <c r="O19" s="2" t="s">
        <v>117</v>
      </c>
      <c r="P19" s="5">
        <f>2.77*P18</f>
        <v>4.1378192530454241</v>
      </c>
      <c r="AE19" s="2" t="s">
        <v>117</v>
      </c>
      <c r="AF19" s="5" t="e">
        <f>2.77*AF18</f>
        <v>#N/A</v>
      </c>
      <c r="AT19" s="2" t="s">
        <v>117</v>
      </c>
      <c r="AU19" s="5" t="e">
        <f>2.77*AU18</f>
        <v>#N/A</v>
      </c>
      <c r="BI19" s="2" t="s">
        <v>117</v>
      </c>
      <c r="BJ19" s="5" t="e">
        <f>2.77*BJ18</f>
        <v>#N/A</v>
      </c>
    </row>
    <row r="20" spans="1:66" x14ac:dyDescent="0.25">
      <c r="A20" s="4"/>
      <c r="B20" s="3"/>
      <c r="O20" s="2" t="s">
        <v>118</v>
      </c>
      <c r="P20" s="5">
        <f>P19-(1.96*(P18/(SQRT(2*P17*(P16-1)))))</f>
        <v>3.7927696198216432</v>
      </c>
      <c r="AE20" s="2" t="s">
        <v>118</v>
      </c>
      <c r="AF20" s="5" t="e">
        <f>AF19-(1.96*(AF18/(SQRT(2*AF17*(AF16-1)))))</f>
        <v>#N/A</v>
      </c>
      <c r="AT20" s="2" t="s">
        <v>118</v>
      </c>
      <c r="AU20" s="5" t="e">
        <f>AU19-(1.96*(AU18/(SQRT(2*AU17*(AU16-1)))))</f>
        <v>#N/A</v>
      </c>
      <c r="BI20" s="2" t="s">
        <v>118</v>
      </c>
      <c r="BJ20" s="5" t="e">
        <f>BJ19-(1.96*(BJ18/(SQRT(2*BJ17*(BJ16-1)))))</f>
        <v>#N/A</v>
      </c>
    </row>
    <row r="21" spans="1:66" x14ac:dyDescent="0.25">
      <c r="A21" s="4"/>
      <c r="B21" s="3"/>
      <c r="O21" s="2" t="s">
        <v>119</v>
      </c>
      <c r="P21" s="5">
        <f>P19+(1.96*(P18/(SQRT(2*P17*(P16-1)))))</f>
        <v>4.4828688862692054</v>
      </c>
      <c r="AE21" s="2" t="s">
        <v>119</v>
      </c>
      <c r="AF21" s="5" t="e">
        <f>AF19+(1.96*(AF18/(SQRT(2*AF17*(AF16-1)))))</f>
        <v>#N/A</v>
      </c>
      <c r="AT21" s="2" t="s">
        <v>119</v>
      </c>
      <c r="AU21" s="5" t="e">
        <f>AU19+(1.96*(AU18/(SQRT(2*AU17*(AU16-1)))))</f>
        <v>#N/A</v>
      </c>
      <c r="BI21" s="2" t="s">
        <v>119</v>
      </c>
      <c r="BJ21" s="5" t="e">
        <f>BJ19+(1.96*(BJ18/(SQRT(2*BJ17*(BJ16-1)))))</f>
        <v>#N/A</v>
      </c>
    </row>
    <row r="22" spans="1:66" s="55" customFormat="1" x14ac:dyDescent="0.25"/>
    <row r="23" spans="1:66" x14ac:dyDescent="0.25">
      <c r="A23" s="73" t="s">
        <v>120</v>
      </c>
      <c r="B23" s="3" t="s">
        <v>100</v>
      </c>
      <c r="C23" s="21" t="s">
        <v>121</v>
      </c>
      <c r="D23">
        <v>66</v>
      </c>
      <c r="E23">
        <v>64</v>
      </c>
      <c r="F23">
        <v>68</v>
      </c>
      <c r="G23">
        <v>68</v>
      </c>
      <c r="H23">
        <v>70</v>
      </c>
      <c r="I23">
        <v>57</v>
      </c>
      <c r="J23">
        <v>73</v>
      </c>
      <c r="K23">
        <v>70</v>
      </c>
      <c r="L23">
        <v>65</v>
      </c>
      <c r="M23">
        <v>64</v>
      </c>
      <c r="P23" s="5">
        <f t="shared" ref="P23:P29" si="7">IFERROR(STDEVA(D23:H23),#N/A)</f>
        <v>2.2803508501982757</v>
      </c>
      <c r="Q23">
        <f>MEDIAN(D23:H23)</f>
        <v>68</v>
      </c>
      <c r="R23" s="2">
        <f>MAX(J23:O23)</f>
        <v>73</v>
      </c>
      <c r="S23" s="27">
        <f t="shared" ref="S23:S29" si="8">100*(R23-Q23)/Q23</f>
        <v>7.3529411764705879</v>
      </c>
    </row>
    <row r="24" spans="1:66" x14ac:dyDescent="0.25">
      <c r="A24" s="73"/>
      <c r="B24" s="3" t="s">
        <v>100</v>
      </c>
      <c r="C24" s="21" t="s">
        <v>122</v>
      </c>
      <c r="D24">
        <v>60</v>
      </c>
      <c r="E24">
        <v>64</v>
      </c>
      <c r="F24">
        <v>64</v>
      </c>
      <c r="G24">
        <v>64</v>
      </c>
      <c r="H24">
        <v>62</v>
      </c>
      <c r="I24">
        <v>62</v>
      </c>
      <c r="J24">
        <v>75</v>
      </c>
      <c r="K24">
        <v>73</v>
      </c>
      <c r="L24">
        <v>74</v>
      </c>
      <c r="M24">
        <v>72</v>
      </c>
      <c r="P24" s="5">
        <f t="shared" si="7"/>
        <v>1.7888543819998317</v>
      </c>
      <c r="Q24">
        <f t="shared" ref="Q24:Q29" si="9">MEDIAN(D24:H24)</f>
        <v>64</v>
      </c>
      <c r="R24" s="2">
        <f t="shared" ref="R24:R29" si="10">MAX(J24:O24)</f>
        <v>75</v>
      </c>
      <c r="S24" s="27">
        <f t="shared" si="8"/>
        <v>17.1875</v>
      </c>
    </row>
    <row r="25" spans="1:66" x14ac:dyDescent="0.25">
      <c r="A25" s="73"/>
      <c r="B25" s="3" t="s">
        <v>100</v>
      </c>
      <c r="C25" s="21" t="s">
        <v>123</v>
      </c>
      <c r="D25">
        <v>56</v>
      </c>
      <c r="E25">
        <v>64</v>
      </c>
      <c r="F25">
        <v>57</v>
      </c>
      <c r="G25">
        <v>65</v>
      </c>
      <c r="H25">
        <v>68</v>
      </c>
      <c r="I25">
        <v>62</v>
      </c>
      <c r="J25">
        <v>71</v>
      </c>
      <c r="K25">
        <v>70</v>
      </c>
      <c r="L25">
        <v>77</v>
      </c>
      <c r="M25">
        <v>67</v>
      </c>
      <c r="P25" s="5">
        <f t="shared" si="7"/>
        <v>5.2440442408507577</v>
      </c>
      <c r="Q25">
        <f t="shared" si="9"/>
        <v>64</v>
      </c>
      <c r="R25" s="2">
        <f t="shared" si="10"/>
        <v>77</v>
      </c>
      <c r="S25" s="27">
        <f t="shared" si="8"/>
        <v>20.3125</v>
      </c>
    </row>
    <row r="26" spans="1:66" x14ac:dyDescent="0.25">
      <c r="A26" s="73"/>
      <c r="B26" s="3" t="s">
        <v>100</v>
      </c>
      <c r="C26" s="21" t="s">
        <v>124</v>
      </c>
      <c r="D26">
        <v>54</v>
      </c>
      <c r="E26">
        <v>57</v>
      </c>
      <c r="F26">
        <v>54</v>
      </c>
      <c r="G26">
        <v>54</v>
      </c>
      <c r="H26">
        <v>55</v>
      </c>
      <c r="I26">
        <v>43</v>
      </c>
      <c r="J26">
        <v>52</v>
      </c>
      <c r="K26">
        <v>56</v>
      </c>
      <c r="L26">
        <v>52</v>
      </c>
      <c r="M26">
        <v>53</v>
      </c>
      <c r="N26">
        <v>53</v>
      </c>
      <c r="O26">
        <v>52</v>
      </c>
      <c r="P26" s="5">
        <f t="shared" si="7"/>
        <v>1.3038404810405297</v>
      </c>
      <c r="Q26">
        <f t="shared" si="9"/>
        <v>54</v>
      </c>
      <c r="R26" s="2">
        <f t="shared" si="10"/>
        <v>56</v>
      </c>
      <c r="S26" s="27">
        <f t="shared" si="8"/>
        <v>3.7037037037037037</v>
      </c>
      <c r="T26">
        <v>54</v>
      </c>
      <c r="U26">
        <v>52</v>
      </c>
      <c r="V26">
        <v>50</v>
      </c>
      <c r="W26">
        <v>50</v>
      </c>
      <c r="X26">
        <v>56</v>
      </c>
      <c r="Y26">
        <v>34</v>
      </c>
      <c r="Z26">
        <v>61</v>
      </c>
      <c r="AA26">
        <v>59</v>
      </c>
      <c r="AB26">
        <v>59</v>
      </c>
      <c r="AC26">
        <v>57</v>
      </c>
      <c r="AD26">
        <v>58</v>
      </c>
      <c r="AE26">
        <v>59</v>
      </c>
      <c r="AI26">
        <v>47</v>
      </c>
      <c r="AJ26">
        <v>51</v>
      </c>
      <c r="AK26">
        <v>48</v>
      </c>
      <c r="AL26">
        <v>49</v>
      </c>
      <c r="AM26">
        <v>50</v>
      </c>
      <c r="AN26">
        <v>42</v>
      </c>
      <c r="AO26">
        <v>54</v>
      </c>
      <c r="AP26">
        <v>56</v>
      </c>
      <c r="AQ26">
        <v>55</v>
      </c>
      <c r="AR26">
        <v>55</v>
      </c>
      <c r="AS26">
        <v>54</v>
      </c>
      <c r="AT26">
        <v>53</v>
      </c>
      <c r="AX26">
        <v>56</v>
      </c>
      <c r="AY26">
        <v>57</v>
      </c>
      <c r="AZ26">
        <v>56</v>
      </c>
      <c r="BA26">
        <v>56</v>
      </c>
      <c r="BB26">
        <v>55</v>
      </c>
      <c r="BC26">
        <v>45</v>
      </c>
      <c r="BD26">
        <v>58</v>
      </c>
      <c r="BE26">
        <v>58</v>
      </c>
      <c r="BF26">
        <v>56</v>
      </c>
      <c r="BG26">
        <v>54</v>
      </c>
      <c r="BH26">
        <v>54</v>
      </c>
      <c r="BI26">
        <v>55</v>
      </c>
    </row>
    <row r="27" spans="1:66" x14ac:dyDescent="0.25">
      <c r="A27" s="73"/>
      <c r="B27" s="3" t="s">
        <v>100</v>
      </c>
      <c r="C27" s="21" t="s">
        <v>125</v>
      </c>
      <c r="D27">
        <v>56</v>
      </c>
      <c r="E27">
        <v>56</v>
      </c>
      <c r="F27">
        <v>54</v>
      </c>
      <c r="G27">
        <v>53</v>
      </c>
      <c r="H27">
        <v>56</v>
      </c>
      <c r="I27">
        <v>42</v>
      </c>
      <c r="J27">
        <v>57</v>
      </c>
      <c r="K27">
        <v>58</v>
      </c>
      <c r="L27">
        <v>60</v>
      </c>
      <c r="M27">
        <v>58</v>
      </c>
      <c r="N27">
        <v>58</v>
      </c>
      <c r="O27">
        <v>59</v>
      </c>
      <c r="P27" s="5">
        <f t="shared" si="7"/>
        <v>1.4142135623730951</v>
      </c>
      <c r="Q27">
        <f t="shared" si="9"/>
        <v>56</v>
      </c>
      <c r="R27" s="2">
        <f t="shared" si="10"/>
        <v>60</v>
      </c>
      <c r="S27" s="27">
        <f t="shared" si="8"/>
        <v>7.1428571428571432</v>
      </c>
    </row>
    <row r="28" spans="1:66" x14ac:dyDescent="0.25">
      <c r="A28" s="73"/>
      <c r="B28" s="3" t="s">
        <v>100</v>
      </c>
      <c r="C28" s="21" t="s">
        <v>126</v>
      </c>
      <c r="D28">
        <v>40</v>
      </c>
      <c r="E28">
        <v>50</v>
      </c>
      <c r="F28">
        <v>52</v>
      </c>
      <c r="G28">
        <v>50</v>
      </c>
      <c r="H28">
        <v>51</v>
      </c>
      <c r="I28">
        <v>40</v>
      </c>
      <c r="J28">
        <v>40</v>
      </c>
      <c r="K28">
        <v>45</v>
      </c>
      <c r="L28">
        <v>47</v>
      </c>
      <c r="M28">
        <v>45</v>
      </c>
      <c r="N28">
        <v>47</v>
      </c>
      <c r="O28">
        <v>47</v>
      </c>
      <c r="P28" s="5">
        <f t="shared" si="7"/>
        <v>4.8785243670601872</v>
      </c>
      <c r="Q28">
        <f t="shared" si="9"/>
        <v>50</v>
      </c>
      <c r="R28" s="2">
        <f t="shared" si="10"/>
        <v>47</v>
      </c>
      <c r="S28" s="27">
        <f t="shared" si="8"/>
        <v>-6</v>
      </c>
    </row>
    <row r="29" spans="1:66" x14ac:dyDescent="0.25">
      <c r="A29" s="73"/>
      <c r="B29" s="3" t="s">
        <v>100</v>
      </c>
      <c r="C29" s="21" t="s">
        <v>127</v>
      </c>
      <c r="D29">
        <v>42</v>
      </c>
      <c r="E29">
        <v>46</v>
      </c>
      <c r="F29">
        <v>51</v>
      </c>
      <c r="G29">
        <v>51</v>
      </c>
      <c r="H29">
        <v>52</v>
      </c>
      <c r="I29">
        <v>43</v>
      </c>
      <c r="J29">
        <v>54</v>
      </c>
      <c r="K29">
        <v>53</v>
      </c>
      <c r="L29">
        <v>46</v>
      </c>
      <c r="M29">
        <v>51</v>
      </c>
      <c r="N29">
        <v>50</v>
      </c>
      <c r="O29">
        <v>47</v>
      </c>
      <c r="P29" s="5">
        <f t="shared" si="7"/>
        <v>4.2778499272414869</v>
      </c>
      <c r="Q29">
        <f t="shared" si="9"/>
        <v>51</v>
      </c>
      <c r="R29" s="2">
        <f t="shared" si="10"/>
        <v>54</v>
      </c>
      <c r="S29" s="27">
        <f t="shared" si="8"/>
        <v>5.882352941176471</v>
      </c>
    </row>
    <row r="30" spans="1:66" x14ac:dyDescent="0.25">
      <c r="A30" s="73"/>
      <c r="B30" s="3"/>
      <c r="P30" s="31" t="s">
        <v>110</v>
      </c>
      <c r="Q30" s="30">
        <f>AVERAGE(Q19:Q29)</f>
        <v>58.142857142857146</v>
      </c>
      <c r="R30" s="30">
        <f>AVERAGE(R21:R29)</f>
        <v>63.142857142857146</v>
      </c>
      <c r="S30" s="29">
        <f>AVERAGE(S19:S29)</f>
        <v>7.940264994886844</v>
      </c>
    </row>
    <row r="31" spans="1:66" x14ac:dyDescent="0.25">
      <c r="A31" s="73"/>
      <c r="B31" s="3"/>
      <c r="P31" s="31" t="s">
        <v>111</v>
      </c>
      <c r="Q31" s="29">
        <f>STDEVA(Q19:Q29)</f>
        <v>7.1280799525204221</v>
      </c>
      <c r="R31" s="29">
        <f>STDEVA(R21:R29)</f>
        <v>11.795883059053141</v>
      </c>
      <c r="S31" s="29">
        <f>STDEVA(S19:S29)</f>
        <v>8.7185511462065808</v>
      </c>
    </row>
    <row r="32" spans="1:66" x14ac:dyDescent="0.25">
      <c r="A32" s="73"/>
      <c r="B32" s="3"/>
      <c r="P32" s="31" t="s">
        <v>112</v>
      </c>
      <c r="Q32" s="32">
        <f>Q31/Q30</f>
        <v>0.12259596969936844</v>
      </c>
      <c r="R32" s="32">
        <f>R31/R30</f>
        <v>0.1868126276320633</v>
      </c>
      <c r="S32" s="32">
        <f>S31/S30</f>
        <v>1.0980176545519471</v>
      </c>
    </row>
    <row r="33" spans="1:66" x14ac:dyDescent="0.25">
      <c r="A33" s="73"/>
      <c r="B33" s="3"/>
    </row>
    <row r="34" spans="1:66" x14ac:dyDescent="0.25">
      <c r="A34" s="73"/>
      <c r="B34" s="3"/>
    </row>
    <row r="35" spans="1:66" ht="16.5" thickBot="1" x14ac:dyDescent="0.3">
      <c r="A35" s="73"/>
      <c r="B35" s="3"/>
    </row>
    <row r="36" spans="1:66" x14ac:dyDescent="0.25">
      <c r="A36" s="4"/>
      <c r="B36" s="3"/>
      <c r="N36" s="9"/>
      <c r="O36" s="8" t="s">
        <v>113</v>
      </c>
      <c r="P36" s="10">
        <v>5</v>
      </c>
      <c r="Q36" s="15" t="s">
        <v>114</v>
      </c>
      <c r="R36" s="16"/>
      <c r="S36" s="16"/>
      <c r="T36" s="16"/>
      <c r="U36" s="17"/>
      <c r="AC36" s="9"/>
      <c r="AD36" s="9"/>
      <c r="AE36" s="8" t="s">
        <v>113</v>
      </c>
      <c r="AF36" s="10">
        <v>5</v>
      </c>
      <c r="AG36" s="15" t="s">
        <v>114</v>
      </c>
      <c r="AH36" s="16"/>
      <c r="AI36" s="11"/>
      <c r="AJ36" s="12"/>
      <c r="AR36" s="9"/>
      <c r="AS36" s="9"/>
      <c r="AT36" s="8" t="s">
        <v>113</v>
      </c>
      <c r="AU36" s="10">
        <v>5</v>
      </c>
      <c r="AV36" s="15" t="s">
        <v>114</v>
      </c>
      <c r="AW36" s="16"/>
      <c r="AX36" s="11"/>
      <c r="AY36" s="12"/>
      <c r="BG36" s="9"/>
      <c r="BH36" s="9"/>
      <c r="BI36" s="8" t="s">
        <v>113</v>
      </c>
      <c r="BJ36" s="10">
        <v>5</v>
      </c>
      <c r="BK36" s="15" t="s">
        <v>114</v>
      </c>
      <c r="BL36" s="16"/>
      <c r="BM36" s="11"/>
      <c r="BN36" s="12"/>
    </row>
    <row r="37" spans="1:66" ht="16.5" thickBot="1" x14ac:dyDescent="0.3">
      <c r="A37" s="4"/>
      <c r="B37" s="3"/>
      <c r="N37" s="9"/>
      <c r="O37" s="8" t="s">
        <v>115</v>
      </c>
      <c r="P37" s="10">
        <v>7</v>
      </c>
      <c r="Q37" s="18" t="s">
        <v>114</v>
      </c>
      <c r="R37" s="54"/>
      <c r="S37" s="13"/>
      <c r="T37" s="13"/>
      <c r="U37" s="14"/>
      <c r="AC37" s="9"/>
      <c r="AD37" s="9"/>
      <c r="AE37" s="8" t="s">
        <v>115</v>
      </c>
      <c r="AF37" s="10">
        <v>10</v>
      </c>
      <c r="AG37" s="18" t="s">
        <v>114</v>
      </c>
      <c r="AH37" s="13"/>
      <c r="AI37" s="13"/>
      <c r="AJ37" s="14"/>
      <c r="AR37" s="9"/>
      <c r="AS37" s="9"/>
      <c r="AT37" s="8" t="s">
        <v>115</v>
      </c>
      <c r="AU37" s="10">
        <v>10</v>
      </c>
      <c r="AV37" s="18" t="s">
        <v>114</v>
      </c>
      <c r="AW37" s="13"/>
      <c r="AX37" s="13"/>
      <c r="AY37" s="14"/>
      <c r="BG37" s="9"/>
      <c r="BH37" s="9"/>
      <c r="BI37" s="8" t="s">
        <v>115</v>
      </c>
      <c r="BJ37" s="10">
        <v>10</v>
      </c>
      <c r="BK37" s="18" t="s">
        <v>114</v>
      </c>
      <c r="BL37" s="13"/>
      <c r="BM37" s="13"/>
      <c r="BN37" s="14"/>
    </row>
    <row r="38" spans="1:66" x14ac:dyDescent="0.25">
      <c r="A38" s="4"/>
      <c r="B38" s="3"/>
      <c r="O38" s="2" t="s">
        <v>116</v>
      </c>
      <c r="P38" s="5">
        <f>SQRT(AVERAGE(P23:P35))</f>
        <v>1.7397732943758655</v>
      </c>
      <c r="AE38" s="2" t="s">
        <v>116</v>
      </c>
      <c r="AF38" s="5" t="e">
        <f>SQRT(AVERAGE(AF23:AF35))</f>
        <v>#DIV/0!</v>
      </c>
      <c r="AT38" s="2" t="s">
        <v>116</v>
      </c>
      <c r="AU38" s="5" t="e">
        <f>SQRT(AVERAGE(AU23:AU35))</f>
        <v>#DIV/0!</v>
      </c>
      <c r="BI38" s="2" t="s">
        <v>116</v>
      </c>
      <c r="BJ38" s="5" t="e">
        <f>SQRT(AVERAGE(BJ23:BJ35))</f>
        <v>#DIV/0!</v>
      </c>
    </row>
    <row r="39" spans="1:66" x14ac:dyDescent="0.25">
      <c r="A39" s="4"/>
      <c r="B39" s="3"/>
      <c r="O39" s="2" t="s">
        <v>117</v>
      </c>
      <c r="P39" s="5">
        <f>2.77*P38</f>
        <v>4.819172025421147</v>
      </c>
      <c r="AE39" s="2" t="s">
        <v>117</v>
      </c>
      <c r="AF39" s="5" t="e">
        <f>2.77*AF38</f>
        <v>#DIV/0!</v>
      </c>
      <c r="AT39" s="2" t="s">
        <v>117</v>
      </c>
      <c r="AU39" s="5" t="e">
        <f>2.77*AU38</f>
        <v>#DIV/0!</v>
      </c>
      <c r="BI39" s="2" t="s">
        <v>117</v>
      </c>
      <c r="BJ39" s="5" t="e">
        <f>2.77*BJ38</f>
        <v>#DIV/0!</v>
      </c>
    </row>
    <row r="40" spans="1:66" x14ac:dyDescent="0.25">
      <c r="A40" s="4"/>
      <c r="B40" s="3"/>
      <c r="O40" s="2" t="s">
        <v>118</v>
      </c>
      <c r="P40" s="5">
        <f>P39-(1.96*(P38/(SQRT(2*P37*(P36-1)))))</f>
        <v>4.3634975335462025</v>
      </c>
      <c r="AE40" s="2" t="s">
        <v>118</v>
      </c>
      <c r="AF40" s="5" t="e">
        <f>AF39-(1.96*(AF38/(SQRT(2*AF37*(AF36-1)))))</f>
        <v>#DIV/0!</v>
      </c>
      <c r="AT40" s="2" t="s">
        <v>118</v>
      </c>
      <c r="AU40" s="5" t="e">
        <f>AU39-(1.96*(AU38/(SQRT(2*AU37*(AU36-1)))))</f>
        <v>#DIV/0!</v>
      </c>
      <c r="BI40" s="2" t="s">
        <v>118</v>
      </c>
      <c r="BJ40" s="5" t="e">
        <f>BJ39-(1.96*(BJ38/(SQRT(2*BJ37*(BJ36-1)))))</f>
        <v>#DIV/0!</v>
      </c>
    </row>
    <row r="41" spans="1:66" x14ac:dyDescent="0.25">
      <c r="A41" s="4"/>
      <c r="B41" s="3"/>
      <c r="O41" s="2" t="s">
        <v>119</v>
      </c>
      <c r="P41" s="5">
        <f>P39+(1.96*(P38/(SQRT(2*P37*(P36-1)))))</f>
        <v>5.2748465172960914</v>
      </c>
      <c r="AE41" s="2" t="s">
        <v>119</v>
      </c>
      <c r="AF41" s="5" t="e">
        <f>AF39+(1.96*(AF38/(SQRT(2*AF37*(AF36-1)))))</f>
        <v>#DIV/0!</v>
      </c>
      <c r="AT41" s="2" t="s">
        <v>119</v>
      </c>
      <c r="AU41" s="5" t="e">
        <f>AU39+(1.96*(AU38/(SQRT(2*AU37*(AU36-1)))))</f>
        <v>#DIV/0!</v>
      </c>
      <c r="BI41" s="2" t="s">
        <v>119</v>
      </c>
      <c r="BJ41" s="5" t="e">
        <f>BJ39+(1.96*(BJ38/(SQRT(2*BJ37*(BJ36-1)))))</f>
        <v>#DIV/0!</v>
      </c>
    </row>
    <row r="42" spans="1:66" s="55" customFormat="1" x14ac:dyDescent="0.25"/>
    <row r="43" spans="1:66" x14ac:dyDescent="0.25">
      <c r="A43" s="68" t="s">
        <v>128</v>
      </c>
      <c r="B43" s="3" t="s">
        <v>100</v>
      </c>
      <c r="C43" s="21" t="s">
        <v>129</v>
      </c>
      <c r="D43">
        <v>65</v>
      </c>
      <c r="E43">
        <v>70</v>
      </c>
      <c r="F43">
        <v>69</v>
      </c>
      <c r="G43">
        <v>68</v>
      </c>
      <c r="H43">
        <v>66</v>
      </c>
      <c r="I43">
        <v>60</v>
      </c>
      <c r="J43">
        <v>72</v>
      </c>
      <c r="K43">
        <v>71</v>
      </c>
      <c r="L43">
        <v>73</v>
      </c>
      <c r="M43">
        <v>71</v>
      </c>
      <c r="P43" s="5">
        <f t="shared" ref="P43:P51" si="11">IFERROR(STDEVA(D43:H43),#N/A)</f>
        <v>2.0736441353327719</v>
      </c>
      <c r="Q43">
        <f>MEDIAN(D43:H43)</f>
        <v>68</v>
      </c>
      <c r="R43" s="2">
        <f>MAX(J43:O43)</f>
        <v>73</v>
      </c>
      <c r="S43" s="27">
        <f t="shared" ref="S43:S51" si="12">100*(R43-Q43)/Q43</f>
        <v>7.3529411764705879</v>
      </c>
    </row>
    <row r="44" spans="1:66" x14ac:dyDescent="0.25">
      <c r="A44" s="68"/>
      <c r="B44" s="3" t="s">
        <v>100</v>
      </c>
      <c r="C44" s="21" t="s">
        <v>130</v>
      </c>
      <c r="D44">
        <v>55</v>
      </c>
      <c r="E44">
        <v>57</v>
      </c>
      <c r="F44">
        <v>54</v>
      </c>
      <c r="G44">
        <v>56</v>
      </c>
      <c r="H44">
        <v>59</v>
      </c>
      <c r="I44">
        <v>61</v>
      </c>
      <c r="J44">
        <v>68</v>
      </c>
      <c r="K44">
        <v>68</v>
      </c>
      <c r="L44">
        <v>64</v>
      </c>
      <c r="M44">
        <v>62</v>
      </c>
      <c r="P44" s="5">
        <f t="shared" si="11"/>
        <v>1.9235384061671343</v>
      </c>
      <c r="Q44">
        <f t="shared" ref="Q44:Q51" si="13">MEDIAN(D44:H44)</f>
        <v>56</v>
      </c>
      <c r="R44" s="2">
        <f t="shared" ref="R44:R51" si="14">MAX(J44:O44)</f>
        <v>68</v>
      </c>
      <c r="S44" s="27">
        <f t="shared" si="12"/>
        <v>21.428571428571427</v>
      </c>
    </row>
    <row r="45" spans="1:66" x14ac:dyDescent="0.25">
      <c r="A45" s="68"/>
      <c r="B45" s="3" t="s">
        <v>100</v>
      </c>
      <c r="C45" s="21" t="s">
        <v>131</v>
      </c>
      <c r="D45">
        <v>48</v>
      </c>
      <c r="E45">
        <v>46</v>
      </c>
      <c r="F45">
        <v>47</v>
      </c>
      <c r="G45">
        <v>50</v>
      </c>
      <c r="H45">
        <v>51</v>
      </c>
      <c r="I45">
        <v>42</v>
      </c>
      <c r="J45">
        <v>57</v>
      </c>
      <c r="K45">
        <v>57</v>
      </c>
      <c r="L45">
        <v>56</v>
      </c>
      <c r="M45">
        <v>52</v>
      </c>
      <c r="N45">
        <v>52</v>
      </c>
      <c r="O45">
        <v>55</v>
      </c>
      <c r="P45" s="5">
        <f t="shared" si="11"/>
        <v>2.0736441353327719</v>
      </c>
      <c r="Q45">
        <f t="shared" si="13"/>
        <v>48</v>
      </c>
      <c r="R45" s="2">
        <f t="shared" si="14"/>
        <v>57</v>
      </c>
      <c r="S45" s="27">
        <f t="shared" si="12"/>
        <v>18.75</v>
      </c>
      <c r="T45">
        <v>46</v>
      </c>
      <c r="U45">
        <v>51</v>
      </c>
      <c r="V45">
        <v>50</v>
      </c>
      <c r="W45">
        <v>50</v>
      </c>
      <c r="X45">
        <v>52</v>
      </c>
      <c r="Y45">
        <v>41</v>
      </c>
      <c r="Z45">
        <v>59</v>
      </c>
      <c r="AA45">
        <v>58</v>
      </c>
      <c r="AB45">
        <v>56</v>
      </c>
      <c r="AC45">
        <v>53</v>
      </c>
      <c r="AD45">
        <v>52</v>
      </c>
      <c r="AE45">
        <v>50</v>
      </c>
      <c r="AI45">
        <v>51</v>
      </c>
      <c r="AJ45">
        <v>55</v>
      </c>
      <c r="AK45">
        <v>55</v>
      </c>
      <c r="AL45">
        <v>56</v>
      </c>
      <c r="AM45">
        <v>58</v>
      </c>
      <c r="AN45">
        <v>46</v>
      </c>
      <c r="AO45">
        <v>60</v>
      </c>
      <c r="AP45">
        <v>60</v>
      </c>
      <c r="AQ45">
        <v>59</v>
      </c>
      <c r="AR45">
        <v>57</v>
      </c>
      <c r="AS45">
        <v>56</v>
      </c>
      <c r="AT45">
        <v>55</v>
      </c>
      <c r="AX45">
        <v>50</v>
      </c>
      <c r="AY45">
        <v>53</v>
      </c>
      <c r="AZ45">
        <v>55</v>
      </c>
      <c r="BA45">
        <v>54</v>
      </c>
      <c r="BB45">
        <v>53</v>
      </c>
      <c r="BC45">
        <v>46</v>
      </c>
      <c r="BD45">
        <v>60</v>
      </c>
      <c r="BE45">
        <v>60</v>
      </c>
      <c r="BF45">
        <v>58</v>
      </c>
      <c r="BG45">
        <v>56</v>
      </c>
      <c r="BH45">
        <v>56</v>
      </c>
      <c r="BI45">
        <v>55</v>
      </c>
    </row>
    <row r="46" spans="1:66" x14ac:dyDescent="0.25">
      <c r="A46" s="68"/>
      <c r="B46" s="3" t="s">
        <v>100</v>
      </c>
      <c r="C46" s="21" t="s">
        <v>132</v>
      </c>
      <c r="D46">
        <v>46</v>
      </c>
      <c r="E46">
        <v>48</v>
      </c>
      <c r="F46">
        <v>48</v>
      </c>
      <c r="G46">
        <v>46</v>
      </c>
      <c r="I46">
        <v>41</v>
      </c>
      <c r="J46">
        <v>50</v>
      </c>
      <c r="K46">
        <v>45</v>
      </c>
      <c r="L46">
        <v>48</v>
      </c>
      <c r="M46">
        <v>48</v>
      </c>
      <c r="N46">
        <v>47</v>
      </c>
      <c r="O46">
        <v>46</v>
      </c>
      <c r="P46" s="5">
        <f t="shared" si="11"/>
        <v>1.1547005383792515</v>
      </c>
      <c r="Q46">
        <f t="shared" si="13"/>
        <v>47</v>
      </c>
      <c r="R46" s="2">
        <f t="shared" si="14"/>
        <v>50</v>
      </c>
      <c r="S46" s="27">
        <f t="shared" si="12"/>
        <v>6.3829787234042552</v>
      </c>
    </row>
    <row r="47" spans="1:66" x14ac:dyDescent="0.25">
      <c r="A47" s="68"/>
      <c r="B47" s="3" t="s">
        <v>100</v>
      </c>
      <c r="C47" s="21" t="s">
        <v>133</v>
      </c>
      <c r="D47">
        <v>41</v>
      </c>
      <c r="E47">
        <v>47</v>
      </c>
      <c r="F47">
        <v>42</v>
      </c>
      <c r="G47">
        <v>42</v>
      </c>
      <c r="H47">
        <v>47</v>
      </c>
      <c r="I47">
        <v>43</v>
      </c>
      <c r="J47">
        <v>55</v>
      </c>
      <c r="K47">
        <v>46</v>
      </c>
      <c r="L47">
        <v>44</v>
      </c>
      <c r="M47">
        <v>47</v>
      </c>
      <c r="N47">
        <v>48</v>
      </c>
      <c r="O47">
        <v>52</v>
      </c>
      <c r="P47" s="5">
        <f t="shared" si="11"/>
        <v>2.9495762407505248</v>
      </c>
      <c r="Q47">
        <f t="shared" si="13"/>
        <v>42</v>
      </c>
      <c r="R47" s="2">
        <f t="shared" si="14"/>
        <v>55</v>
      </c>
      <c r="S47" s="27">
        <f t="shared" si="12"/>
        <v>30.952380952380953</v>
      </c>
    </row>
    <row r="48" spans="1:66" x14ac:dyDescent="0.25">
      <c r="A48" s="68"/>
      <c r="B48" s="3" t="s">
        <v>100</v>
      </c>
      <c r="C48" s="21" t="s">
        <v>134</v>
      </c>
      <c r="D48">
        <v>42</v>
      </c>
      <c r="E48">
        <v>46</v>
      </c>
      <c r="F48">
        <v>43</v>
      </c>
      <c r="G48">
        <v>43</v>
      </c>
      <c r="H48">
        <v>44</v>
      </c>
      <c r="I48">
        <v>44</v>
      </c>
      <c r="J48">
        <v>57</v>
      </c>
      <c r="K48">
        <v>55</v>
      </c>
      <c r="L48">
        <v>49</v>
      </c>
      <c r="M48">
        <v>49</v>
      </c>
      <c r="N48">
        <v>48</v>
      </c>
      <c r="O48">
        <v>50</v>
      </c>
      <c r="P48" s="5">
        <f t="shared" si="11"/>
        <v>1.51657508881031</v>
      </c>
      <c r="Q48">
        <f t="shared" si="13"/>
        <v>43</v>
      </c>
      <c r="R48" s="2">
        <f t="shared" si="14"/>
        <v>57</v>
      </c>
      <c r="S48" s="27">
        <f t="shared" si="12"/>
        <v>32.558139534883722</v>
      </c>
      <c r="T48">
        <v>51</v>
      </c>
      <c r="U48">
        <v>50</v>
      </c>
      <c r="V48">
        <v>51</v>
      </c>
      <c r="W48">
        <v>48</v>
      </c>
      <c r="X48">
        <v>52</v>
      </c>
      <c r="Y48">
        <v>40</v>
      </c>
      <c r="Z48">
        <v>58</v>
      </c>
      <c r="AA48">
        <v>57</v>
      </c>
      <c r="AB48">
        <v>52</v>
      </c>
      <c r="AC48">
        <v>52</v>
      </c>
      <c r="AD48">
        <v>49</v>
      </c>
      <c r="AE48">
        <v>50</v>
      </c>
      <c r="AI48">
        <v>52</v>
      </c>
      <c r="AJ48">
        <v>49</v>
      </c>
      <c r="AK48">
        <v>53</v>
      </c>
      <c r="AL48">
        <v>53</v>
      </c>
      <c r="AM48">
        <v>54</v>
      </c>
      <c r="AN48">
        <v>45</v>
      </c>
      <c r="AO48">
        <v>59</v>
      </c>
      <c r="AP48">
        <v>59</v>
      </c>
      <c r="AQ48">
        <v>58</v>
      </c>
      <c r="AR48">
        <v>59</v>
      </c>
      <c r="AS48">
        <v>55</v>
      </c>
      <c r="AT48">
        <v>58</v>
      </c>
      <c r="AX48">
        <v>51</v>
      </c>
      <c r="AY48">
        <v>54</v>
      </c>
      <c r="AZ48">
        <v>55</v>
      </c>
      <c r="BA48">
        <v>56</v>
      </c>
      <c r="BB48">
        <v>56</v>
      </c>
      <c r="BC48">
        <v>47</v>
      </c>
      <c r="BD48">
        <v>58</v>
      </c>
      <c r="BE48">
        <v>60</v>
      </c>
      <c r="BF48">
        <v>56</v>
      </c>
      <c r="BG48">
        <v>58</v>
      </c>
      <c r="BH48">
        <v>54</v>
      </c>
      <c r="BI48">
        <v>56</v>
      </c>
    </row>
    <row r="49" spans="1:66" x14ac:dyDescent="0.25">
      <c r="A49" s="68"/>
      <c r="B49" s="3" t="s">
        <v>100</v>
      </c>
      <c r="C49" s="21" t="s">
        <v>135</v>
      </c>
      <c r="D49">
        <v>42</v>
      </c>
      <c r="E49">
        <v>52</v>
      </c>
      <c r="F49">
        <v>51</v>
      </c>
      <c r="G49">
        <v>52</v>
      </c>
      <c r="H49">
        <v>50</v>
      </c>
      <c r="I49">
        <v>53</v>
      </c>
      <c r="J49">
        <v>48</v>
      </c>
      <c r="K49">
        <v>58</v>
      </c>
      <c r="L49">
        <v>56</v>
      </c>
      <c r="M49">
        <v>49</v>
      </c>
      <c r="N49">
        <v>52</v>
      </c>
      <c r="O49">
        <v>49</v>
      </c>
      <c r="P49" s="5">
        <f t="shared" si="11"/>
        <v>4.2190046219457971</v>
      </c>
      <c r="Q49">
        <f t="shared" si="13"/>
        <v>51</v>
      </c>
      <c r="R49" s="2">
        <f t="shared" si="14"/>
        <v>58</v>
      </c>
      <c r="S49" s="27">
        <f t="shared" si="12"/>
        <v>13.725490196078431</v>
      </c>
    </row>
    <row r="50" spans="1:66" x14ac:dyDescent="0.25">
      <c r="A50" s="68"/>
      <c r="B50" s="3" t="s">
        <v>100</v>
      </c>
      <c r="C50" s="21" t="s">
        <v>136</v>
      </c>
      <c r="D50">
        <v>41</v>
      </c>
      <c r="E50">
        <v>42</v>
      </c>
      <c r="F50">
        <v>44</v>
      </c>
      <c r="G50">
        <v>43</v>
      </c>
      <c r="H50">
        <v>41</v>
      </c>
      <c r="I50">
        <v>44</v>
      </c>
      <c r="J50">
        <v>52</v>
      </c>
      <c r="K50">
        <v>47</v>
      </c>
      <c r="L50">
        <v>47</v>
      </c>
      <c r="M50">
        <v>45</v>
      </c>
      <c r="N50">
        <v>45</v>
      </c>
      <c r="O50">
        <v>46</v>
      </c>
      <c r="P50" s="5">
        <f t="shared" si="11"/>
        <v>1.3038404810405297</v>
      </c>
      <c r="Q50">
        <f t="shared" si="13"/>
        <v>42</v>
      </c>
      <c r="R50" s="2">
        <f t="shared" si="14"/>
        <v>52</v>
      </c>
      <c r="S50" s="27">
        <f t="shared" si="12"/>
        <v>23.80952380952381</v>
      </c>
    </row>
    <row r="51" spans="1:66" x14ac:dyDescent="0.25">
      <c r="A51" s="68"/>
      <c r="B51" s="3" t="s">
        <v>100</v>
      </c>
      <c r="C51" s="21" t="s">
        <v>137</v>
      </c>
      <c r="D51">
        <v>54</v>
      </c>
      <c r="E51">
        <v>56</v>
      </c>
      <c r="F51">
        <v>55</v>
      </c>
      <c r="G51">
        <v>56</v>
      </c>
      <c r="H51">
        <v>55</v>
      </c>
      <c r="I51">
        <v>52</v>
      </c>
      <c r="J51">
        <v>54</v>
      </c>
      <c r="K51">
        <v>54</v>
      </c>
      <c r="L51">
        <v>52</v>
      </c>
      <c r="M51">
        <v>53</v>
      </c>
      <c r="N51">
        <v>51</v>
      </c>
      <c r="O51">
        <v>51</v>
      </c>
      <c r="P51" s="5">
        <f t="shared" si="11"/>
        <v>0.83666002653407556</v>
      </c>
      <c r="Q51">
        <f t="shared" si="13"/>
        <v>55</v>
      </c>
      <c r="R51" s="2">
        <f t="shared" si="14"/>
        <v>54</v>
      </c>
      <c r="S51" s="27">
        <f t="shared" si="12"/>
        <v>-1.8181818181818181</v>
      </c>
    </row>
    <row r="52" spans="1:66" x14ac:dyDescent="0.25">
      <c r="A52" s="68"/>
      <c r="B52" s="3" t="s">
        <v>100</v>
      </c>
      <c r="C52" s="21" t="s">
        <v>138</v>
      </c>
      <c r="D52">
        <v>52</v>
      </c>
      <c r="E52">
        <v>56</v>
      </c>
      <c r="F52">
        <v>63</v>
      </c>
      <c r="G52">
        <v>62</v>
      </c>
      <c r="H52">
        <v>60</v>
      </c>
      <c r="I52">
        <v>46</v>
      </c>
      <c r="J52">
        <v>60</v>
      </c>
      <c r="K52">
        <v>63</v>
      </c>
      <c r="L52">
        <v>63</v>
      </c>
      <c r="M52">
        <v>62</v>
      </c>
      <c r="N52">
        <v>63</v>
      </c>
      <c r="O52">
        <v>59</v>
      </c>
      <c r="P52" s="5">
        <f t="shared" ref="P52:P53" si="15">IFERROR(STDEVA(D52:H52),#N/A)</f>
        <v>4.5607017003965513</v>
      </c>
      <c r="Q52">
        <f>MEDIAN(D52:H52)</f>
        <v>60</v>
      </c>
      <c r="R52" s="2">
        <f>MAX(J52:O52)</f>
        <v>63</v>
      </c>
      <c r="S52" s="27">
        <f t="shared" ref="S52:S53" si="16">100*(R52-Q52)/Q52</f>
        <v>5</v>
      </c>
    </row>
    <row r="53" spans="1:66" x14ac:dyDescent="0.25">
      <c r="A53" s="68"/>
      <c r="B53" s="3" t="s">
        <v>100</v>
      </c>
      <c r="C53" s="21" t="s">
        <v>139</v>
      </c>
      <c r="D53">
        <v>53</v>
      </c>
      <c r="E53">
        <v>55</v>
      </c>
      <c r="F53">
        <v>60</v>
      </c>
      <c r="G53">
        <v>62</v>
      </c>
      <c r="H53">
        <v>62</v>
      </c>
      <c r="I53">
        <v>46</v>
      </c>
      <c r="J53">
        <v>57</v>
      </c>
      <c r="K53">
        <v>56</v>
      </c>
      <c r="L53">
        <v>55</v>
      </c>
      <c r="M53">
        <v>51</v>
      </c>
      <c r="N53">
        <v>51</v>
      </c>
      <c r="O53">
        <v>51</v>
      </c>
      <c r="P53" s="5">
        <f t="shared" si="15"/>
        <v>4.1593268686170841</v>
      </c>
      <c r="Q53">
        <f t="shared" ref="Q53" si="17">MEDIAN(D53:H53)</f>
        <v>60</v>
      </c>
      <c r="R53" s="2">
        <f t="shared" ref="R53" si="18">MAX(J53:O53)</f>
        <v>57</v>
      </c>
      <c r="S53" s="27">
        <f t="shared" si="16"/>
        <v>-5</v>
      </c>
      <c r="T53">
        <v>50</v>
      </c>
      <c r="U53">
        <v>52</v>
      </c>
      <c r="V53">
        <v>56</v>
      </c>
      <c r="W53">
        <v>54</v>
      </c>
      <c r="X53">
        <v>56</v>
      </c>
      <c r="Y53">
        <v>42</v>
      </c>
      <c r="Z53">
        <v>60</v>
      </c>
      <c r="AA53">
        <v>59</v>
      </c>
      <c r="AB53">
        <v>58</v>
      </c>
      <c r="AC53">
        <v>58</v>
      </c>
      <c r="AD53">
        <v>58</v>
      </c>
      <c r="AE53">
        <v>58</v>
      </c>
      <c r="AI53">
        <v>48</v>
      </c>
      <c r="AJ53">
        <v>50</v>
      </c>
      <c r="AK53">
        <v>52</v>
      </c>
      <c r="AL53">
        <v>56</v>
      </c>
      <c r="AM53">
        <v>55</v>
      </c>
      <c r="AN53">
        <v>46</v>
      </c>
      <c r="AO53">
        <v>60</v>
      </c>
      <c r="AP53">
        <v>60</v>
      </c>
      <c r="AQ53">
        <v>60</v>
      </c>
      <c r="AR53">
        <v>58</v>
      </c>
      <c r="AS53">
        <v>56</v>
      </c>
      <c r="AT53">
        <v>51</v>
      </c>
      <c r="AX53">
        <v>50</v>
      </c>
      <c r="AY53">
        <v>46</v>
      </c>
      <c r="AZ53">
        <v>49</v>
      </c>
      <c r="BA53">
        <v>50</v>
      </c>
      <c r="BB53">
        <v>53</v>
      </c>
      <c r="BC53">
        <v>48</v>
      </c>
      <c r="BD53">
        <v>58</v>
      </c>
      <c r="BE53">
        <v>59</v>
      </c>
      <c r="BF53">
        <v>55</v>
      </c>
      <c r="BG53">
        <v>54</v>
      </c>
      <c r="BH53">
        <v>54</v>
      </c>
      <c r="BI53">
        <v>52</v>
      </c>
    </row>
    <row r="54" spans="1:66" x14ac:dyDescent="0.25">
      <c r="A54" s="68"/>
      <c r="B54" s="3"/>
      <c r="P54" s="31" t="s">
        <v>110</v>
      </c>
      <c r="Q54" s="30">
        <f>AVERAGE(Q44:Q53)</f>
        <v>50.4</v>
      </c>
      <c r="R54" s="30">
        <f>AVERAGE(R45:R53)</f>
        <v>55.888888888888886</v>
      </c>
      <c r="S54" s="29">
        <f>AVERAGE(S44:S53)</f>
        <v>14.578890282666077</v>
      </c>
    </row>
    <row r="55" spans="1:66" x14ac:dyDescent="0.25">
      <c r="A55" s="68"/>
      <c r="B55" s="3"/>
      <c r="P55" s="31" t="s">
        <v>111</v>
      </c>
      <c r="Q55" s="29">
        <f>STDEVA(Q44:Q53)</f>
        <v>7.07420981060391</v>
      </c>
      <c r="R55" s="29">
        <f>STDEVA(R45:R53)</f>
        <v>3.7564758898615485</v>
      </c>
      <c r="S55" s="29">
        <f>STDEVA(S44:S53)</f>
        <v>13.134851007867208</v>
      </c>
    </row>
    <row r="56" spans="1:66" ht="16.5" thickBot="1" x14ac:dyDescent="0.3">
      <c r="A56" s="68"/>
      <c r="B56" s="3"/>
      <c r="P56" s="31" t="s">
        <v>112</v>
      </c>
      <c r="Q56" s="32">
        <f>Q55/Q54</f>
        <v>0.1403613057659506</v>
      </c>
      <c r="R56" s="32">
        <f>R55/R54</f>
        <v>6.7213286299709615E-2</v>
      </c>
      <c r="S56" s="32">
        <f>S55/S54</f>
        <v>0.90094998680964122</v>
      </c>
    </row>
    <row r="57" spans="1:66" x14ac:dyDescent="0.25">
      <c r="A57" s="4"/>
      <c r="B57" s="3"/>
      <c r="N57" s="9"/>
      <c r="O57" s="8" t="s">
        <v>113</v>
      </c>
      <c r="P57" s="10">
        <v>5</v>
      </c>
      <c r="Q57" s="15" t="s">
        <v>114</v>
      </c>
      <c r="R57" s="16"/>
      <c r="S57" s="16"/>
      <c r="T57" s="16"/>
      <c r="U57" s="17"/>
      <c r="AC57" s="9"/>
      <c r="AD57" s="9"/>
      <c r="AE57" s="8" t="s">
        <v>113</v>
      </c>
      <c r="AF57" s="10">
        <v>5</v>
      </c>
      <c r="AG57" s="15" t="s">
        <v>114</v>
      </c>
      <c r="AH57" s="16"/>
      <c r="AI57" s="11"/>
      <c r="AJ57" s="12"/>
      <c r="AR57" s="9"/>
      <c r="AS57" s="9"/>
      <c r="AT57" s="8" t="s">
        <v>113</v>
      </c>
      <c r="AU57" s="10">
        <v>5</v>
      </c>
      <c r="AV57" s="15" t="s">
        <v>114</v>
      </c>
      <c r="AW57" s="16"/>
      <c r="AX57" s="11"/>
      <c r="AY57" s="12"/>
      <c r="BG57" s="9"/>
      <c r="BH57" s="9"/>
      <c r="BI57" s="8" t="s">
        <v>113</v>
      </c>
      <c r="BJ57" s="10">
        <v>5</v>
      </c>
      <c r="BK57" s="15" t="s">
        <v>114</v>
      </c>
      <c r="BL57" s="16"/>
      <c r="BM57" s="11"/>
      <c r="BN57" s="12"/>
    </row>
    <row r="58" spans="1:66" ht="16.5" thickBot="1" x14ac:dyDescent="0.3">
      <c r="A58" s="4"/>
      <c r="B58" s="3"/>
      <c r="N58" s="9"/>
      <c r="O58" s="8" t="s">
        <v>115</v>
      </c>
      <c r="P58" s="10">
        <v>11</v>
      </c>
      <c r="Q58" s="18" t="s">
        <v>114</v>
      </c>
      <c r="R58" s="54"/>
      <c r="S58" s="13"/>
      <c r="T58" s="13"/>
      <c r="U58" s="14"/>
      <c r="AC58" s="9"/>
      <c r="AD58" s="9"/>
      <c r="AE58" s="8" t="s">
        <v>115</v>
      </c>
      <c r="AF58" s="10">
        <v>10</v>
      </c>
      <c r="AG58" s="18" t="s">
        <v>114</v>
      </c>
      <c r="AH58" s="13"/>
      <c r="AI58" s="13"/>
      <c r="AJ58" s="14"/>
      <c r="AR58" s="9"/>
      <c r="AS58" s="9"/>
      <c r="AT58" s="8" t="s">
        <v>115</v>
      </c>
      <c r="AU58" s="10">
        <v>10</v>
      </c>
      <c r="AV58" s="18" t="s">
        <v>114</v>
      </c>
      <c r="AW58" s="13"/>
      <c r="AX58" s="13"/>
      <c r="AY58" s="14"/>
      <c r="BG58" s="9"/>
      <c r="BH58" s="9"/>
      <c r="BI58" s="8" t="s">
        <v>115</v>
      </c>
      <c r="BJ58" s="10">
        <v>10</v>
      </c>
      <c r="BK58" s="18" t="s">
        <v>114</v>
      </c>
      <c r="BL58" s="13"/>
      <c r="BM58" s="13"/>
      <c r="BN58" s="14"/>
    </row>
    <row r="59" spans="1:66" x14ac:dyDescent="0.25">
      <c r="A59" s="4"/>
      <c r="B59" s="3"/>
      <c r="O59" s="2" t="s">
        <v>116</v>
      </c>
      <c r="P59" s="5">
        <f>SQRT(AVERAGE(P43:P56))</f>
        <v>1.5600469760790365</v>
      </c>
      <c r="AE59" s="2" t="s">
        <v>116</v>
      </c>
      <c r="AF59" s="5" t="e">
        <f>SQRT(AVERAGE(AF43:AF56))</f>
        <v>#DIV/0!</v>
      </c>
      <c r="AT59" s="2" t="s">
        <v>116</v>
      </c>
      <c r="AU59" s="5" t="e">
        <f>SQRT(AVERAGE(AU43:AU56))</f>
        <v>#DIV/0!</v>
      </c>
      <c r="BI59" s="2" t="s">
        <v>116</v>
      </c>
      <c r="BJ59" s="5" t="e">
        <f>SQRT(AVERAGE(BJ43:BJ56))</f>
        <v>#DIV/0!</v>
      </c>
    </row>
    <row r="60" spans="1:66" x14ac:dyDescent="0.25">
      <c r="A60" s="4"/>
      <c r="B60" s="3"/>
      <c r="O60" s="2" t="s">
        <v>117</v>
      </c>
      <c r="P60" s="5">
        <f>2.77*P59</f>
        <v>4.3213301237389308</v>
      </c>
      <c r="AE60" s="2" t="s">
        <v>117</v>
      </c>
      <c r="AF60" s="5" t="e">
        <f>2.77*AF59</f>
        <v>#DIV/0!</v>
      </c>
      <c r="AT60" s="2" t="s">
        <v>117</v>
      </c>
      <c r="AU60" s="5" t="e">
        <f>2.77*AU59</f>
        <v>#DIV/0!</v>
      </c>
      <c r="BI60" s="2" t="s">
        <v>117</v>
      </c>
      <c r="BJ60" s="5" t="e">
        <f>2.77*BJ59</f>
        <v>#DIV/0!</v>
      </c>
    </row>
    <row r="61" spans="1:66" x14ac:dyDescent="0.25">
      <c r="A61" s="4"/>
      <c r="B61" s="3"/>
      <c r="O61" s="2" t="s">
        <v>118</v>
      </c>
      <c r="P61" s="5">
        <f>P60-(1.96*(P59/(SQRT(2*P58*(P57-1)))))</f>
        <v>3.9953790535474454</v>
      </c>
      <c r="AE61" s="2" t="s">
        <v>118</v>
      </c>
      <c r="AF61" s="5" t="e">
        <f>AF60-(1.96*(AF59/(SQRT(2*AF58*(AF57-1)))))</f>
        <v>#DIV/0!</v>
      </c>
      <c r="AT61" s="2" t="s">
        <v>118</v>
      </c>
      <c r="AU61" s="5" t="e">
        <f>AU60-(1.96*(AU59/(SQRT(2*AU58*(AU57-1)))))</f>
        <v>#DIV/0!</v>
      </c>
      <c r="BI61" s="2" t="s">
        <v>118</v>
      </c>
      <c r="BJ61" s="5" t="e">
        <f>BJ60-(1.96*(BJ59/(SQRT(2*BJ58*(BJ57-1)))))</f>
        <v>#DIV/0!</v>
      </c>
    </row>
    <row r="62" spans="1:66" x14ac:dyDescent="0.25">
      <c r="A62" s="4"/>
      <c r="B62" s="3"/>
      <c r="O62" s="2" t="s">
        <v>119</v>
      </c>
      <c r="P62" s="5">
        <f>P60+(1.96*(P59/(SQRT(2*P58*(P57-1)))))</f>
        <v>4.6472811939304162</v>
      </c>
      <c r="AE62" s="2" t="s">
        <v>119</v>
      </c>
      <c r="AF62" s="5" t="e">
        <f>AF60+(1.96*(AF59/(SQRT(2*AF58*(AF57-1)))))</f>
        <v>#DIV/0!</v>
      </c>
      <c r="AT62" s="2" t="s">
        <v>119</v>
      </c>
      <c r="AU62" s="5" t="e">
        <f>AU60+(1.96*(AU59/(SQRT(2*AU58*(AU57-1)))))</f>
        <v>#DIV/0!</v>
      </c>
      <c r="BI62" s="2" t="s">
        <v>119</v>
      </c>
      <c r="BJ62" s="5" t="e">
        <f>BJ60+(1.96*(BJ59/(SQRT(2*BJ58*(BJ57-1)))))</f>
        <v>#DIV/0!</v>
      </c>
    </row>
    <row r="63" spans="1:66" s="55" customFormat="1" x14ac:dyDescent="0.25"/>
    <row r="64" spans="1:66" x14ac:dyDescent="0.25">
      <c r="A64" s="73" t="s">
        <v>140</v>
      </c>
      <c r="B64" s="3" t="s">
        <v>100</v>
      </c>
      <c r="C64" s="21" t="s">
        <v>141</v>
      </c>
      <c r="D64">
        <v>66</v>
      </c>
      <c r="E64">
        <v>63</v>
      </c>
      <c r="F64">
        <v>68</v>
      </c>
      <c r="G64">
        <v>64</v>
      </c>
      <c r="H64">
        <v>66</v>
      </c>
      <c r="I64">
        <v>65</v>
      </c>
      <c r="J64">
        <v>72</v>
      </c>
      <c r="K64">
        <v>76</v>
      </c>
      <c r="L64">
        <v>78</v>
      </c>
      <c r="M64">
        <v>79</v>
      </c>
      <c r="P64" s="5">
        <f t="shared" ref="P64:P73" si="19">IFERROR(STDEVA(D64:H64),#N/A)</f>
        <v>1.9493588689617927</v>
      </c>
      <c r="Q64">
        <f>MEDIAN(D64:H64)</f>
        <v>66</v>
      </c>
      <c r="R64" s="2">
        <f>MAX(J64:O64)</f>
        <v>79</v>
      </c>
      <c r="S64" s="27">
        <f t="shared" ref="S64:S73" si="20">100*(R64-Q64)/Q64</f>
        <v>19.696969696969695</v>
      </c>
    </row>
    <row r="65" spans="1:66" x14ac:dyDescent="0.25">
      <c r="A65" s="73"/>
      <c r="B65" s="3" t="s">
        <v>100</v>
      </c>
      <c r="C65" s="21" t="s">
        <v>142</v>
      </c>
      <c r="D65">
        <v>65</v>
      </c>
      <c r="E65">
        <v>68</v>
      </c>
      <c r="F65">
        <v>62</v>
      </c>
      <c r="G65">
        <v>60</v>
      </c>
      <c r="H65">
        <v>61</v>
      </c>
      <c r="I65">
        <v>57</v>
      </c>
      <c r="J65">
        <v>72</v>
      </c>
      <c r="K65">
        <v>74</v>
      </c>
      <c r="L65">
        <v>76</v>
      </c>
      <c r="M65">
        <v>76</v>
      </c>
      <c r="P65" s="5">
        <f t="shared" si="19"/>
        <v>3.2710854467592254</v>
      </c>
      <c r="Q65">
        <f t="shared" ref="Q65:Q72" si="21">MEDIAN(D65:H65)</f>
        <v>62</v>
      </c>
      <c r="R65" s="2">
        <f t="shared" ref="R65:R72" si="22">MAX(J65:O65)</f>
        <v>76</v>
      </c>
      <c r="S65" s="27">
        <f t="shared" si="20"/>
        <v>22.580645161290324</v>
      </c>
    </row>
    <row r="66" spans="1:66" x14ac:dyDescent="0.25">
      <c r="A66" s="73"/>
      <c r="B66" s="3" t="s">
        <v>100</v>
      </c>
      <c r="C66" s="21" t="s">
        <v>143</v>
      </c>
      <c r="D66">
        <v>66</v>
      </c>
      <c r="E66">
        <v>68</v>
      </c>
      <c r="F66">
        <v>68</v>
      </c>
      <c r="G66">
        <v>68</v>
      </c>
      <c r="H66">
        <v>68</v>
      </c>
      <c r="I66">
        <v>39</v>
      </c>
      <c r="J66">
        <v>71</v>
      </c>
      <c r="K66">
        <v>71</v>
      </c>
      <c r="L66">
        <v>70</v>
      </c>
      <c r="M66">
        <v>69</v>
      </c>
      <c r="P66" s="5">
        <f t="shared" si="19"/>
        <v>0.89442719099991586</v>
      </c>
      <c r="Q66">
        <f t="shared" si="21"/>
        <v>68</v>
      </c>
      <c r="R66" s="2">
        <f t="shared" si="22"/>
        <v>71</v>
      </c>
      <c r="S66" s="27">
        <f t="shared" si="20"/>
        <v>4.4117647058823533</v>
      </c>
    </row>
    <row r="67" spans="1:66" x14ac:dyDescent="0.25">
      <c r="A67" s="73"/>
      <c r="B67" s="3" t="s">
        <v>100</v>
      </c>
      <c r="C67" s="21" t="s">
        <v>144</v>
      </c>
      <c r="D67">
        <v>57</v>
      </c>
      <c r="E67">
        <v>53</v>
      </c>
      <c r="F67">
        <v>53</v>
      </c>
      <c r="G67">
        <v>49</v>
      </c>
      <c r="H67">
        <v>43</v>
      </c>
      <c r="I67">
        <v>59</v>
      </c>
      <c r="J67">
        <v>56</v>
      </c>
      <c r="K67">
        <v>52</v>
      </c>
      <c r="L67">
        <v>50</v>
      </c>
      <c r="M67">
        <v>50</v>
      </c>
      <c r="N67">
        <v>50</v>
      </c>
      <c r="P67" s="5">
        <f t="shared" si="19"/>
        <v>5.2915026221291814</v>
      </c>
      <c r="Q67">
        <f t="shared" si="21"/>
        <v>53</v>
      </c>
      <c r="R67" s="2">
        <f t="shared" si="22"/>
        <v>56</v>
      </c>
      <c r="S67" s="27">
        <f t="shared" si="20"/>
        <v>5.6603773584905657</v>
      </c>
    </row>
    <row r="68" spans="1:66" x14ac:dyDescent="0.25">
      <c r="A68" s="73"/>
      <c r="B68" s="3" t="s">
        <v>100</v>
      </c>
      <c r="C68" s="21" t="s">
        <v>145</v>
      </c>
      <c r="D68">
        <v>42</v>
      </c>
      <c r="E68">
        <v>41</v>
      </c>
      <c r="F68">
        <v>43</v>
      </c>
      <c r="G68">
        <v>42</v>
      </c>
      <c r="H68">
        <v>41</v>
      </c>
      <c r="I68">
        <v>49</v>
      </c>
      <c r="J68">
        <v>50</v>
      </c>
      <c r="K68">
        <v>54</v>
      </c>
      <c r="L68">
        <v>53</v>
      </c>
      <c r="M68">
        <v>49</v>
      </c>
      <c r="N68">
        <v>46</v>
      </c>
      <c r="O68">
        <v>40</v>
      </c>
      <c r="P68" s="5">
        <f t="shared" si="19"/>
        <v>0.83666002653407556</v>
      </c>
      <c r="Q68">
        <f t="shared" si="21"/>
        <v>42</v>
      </c>
      <c r="R68" s="2">
        <f t="shared" si="22"/>
        <v>54</v>
      </c>
      <c r="S68" s="27">
        <f t="shared" si="20"/>
        <v>28.571428571428573</v>
      </c>
      <c r="T68">
        <v>41</v>
      </c>
      <c r="U68">
        <v>42</v>
      </c>
      <c r="V68">
        <v>43</v>
      </c>
      <c r="W68">
        <v>41</v>
      </c>
      <c r="X68">
        <v>42</v>
      </c>
      <c r="Y68">
        <v>47</v>
      </c>
      <c r="Z68">
        <v>51</v>
      </c>
      <c r="AA68">
        <v>49</v>
      </c>
      <c r="AB68">
        <v>49</v>
      </c>
      <c r="AC68">
        <v>46</v>
      </c>
      <c r="AD68">
        <v>45</v>
      </c>
      <c r="AE68">
        <v>45</v>
      </c>
      <c r="AI68">
        <v>57</v>
      </c>
      <c r="AJ68">
        <v>50</v>
      </c>
      <c r="AK68">
        <v>48</v>
      </c>
      <c r="AL68">
        <v>50</v>
      </c>
      <c r="AM68">
        <v>46</v>
      </c>
      <c r="AN68">
        <v>53</v>
      </c>
      <c r="AO68">
        <v>60</v>
      </c>
      <c r="AP68">
        <v>59</v>
      </c>
      <c r="AQ68">
        <v>63</v>
      </c>
      <c r="AR68">
        <v>56</v>
      </c>
      <c r="AS68">
        <v>55</v>
      </c>
      <c r="AT68">
        <v>48</v>
      </c>
      <c r="AX68">
        <v>46</v>
      </c>
      <c r="AY68">
        <v>47</v>
      </c>
      <c r="AZ68">
        <v>51</v>
      </c>
      <c r="BA68">
        <v>54</v>
      </c>
      <c r="BB68">
        <v>52</v>
      </c>
      <c r="BC68">
        <v>47</v>
      </c>
      <c r="BD68">
        <v>56</v>
      </c>
      <c r="BE68">
        <v>58</v>
      </c>
      <c r="BF68">
        <v>57</v>
      </c>
      <c r="BG68">
        <v>57</v>
      </c>
      <c r="BH68">
        <v>54</v>
      </c>
      <c r="BI68">
        <v>54</v>
      </c>
    </row>
    <row r="69" spans="1:66" x14ac:dyDescent="0.25">
      <c r="A69" s="73"/>
      <c r="B69" s="3" t="s">
        <v>100</v>
      </c>
      <c r="C69" s="21" t="s">
        <v>146</v>
      </c>
      <c r="D69">
        <v>50</v>
      </c>
      <c r="E69">
        <v>51</v>
      </c>
      <c r="F69">
        <v>49</v>
      </c>
      <c r="G69">
        <v>48</v>
      </c>
      <c r="H69">
        <v>49</v>
      </c>
      <c r="I69">
        <v>43</v>
      </c>
      <c r="J69">
        <v>54</v>
      </c>
      <c r="K69">
        <v>51</v>
      </c>
      <c r="L69">
        <v>46</v>
      </c>
      <c r="M69">
        <v>49</v>
      </c>
      <c r="N69">
        <v>49</v>
      </c>
      <c r="O69">
        <v>49</v>
      </c>
      <c r="P69" s="5">
        <f t="shared" si="19"/>
        <v>1.1401754250991381</v>
      </c>
      <c r="Q69">
        <f t="shared" si="21"/>
        <v>49</v>
      </c>
      <c r="R69" s="2">
        <f t="shared" si="22"/>
        <v>54</v>
      </c>
      <c r="S69" s="27">
        <f t="shared" si="20"/>
        <v>10.204081632653061</v>
      </c>
    </row>
    <row r="70" spans="1:66" x14ac:dyDescent="0.25">
      <c r="A70" s="73"/>
      <c r="B70" s="3" t="s">
        <v>100</v>
      </c>
      <c r="C70" s="21" t="s">
        <v>147</v>
      </c>
      <c r="D70">
        <v>46</v>
      </c>
      <c r="E70">
        <v>43</v>
      </c>
      <c r="F70">
        <v>44</v>
      </c>
      <c r="G70">
        <v>48</v>
      </c>
      <c r="H70">
        <v>50</v>
      </c>
      <c r="I70">
        <v>45</v>
      </c>
      <c r="J70">
        <v>54</v>
      </c>
      <c r="K70">
        <v>55</v>
      </c>
      <c r="L70">
        <v>50</v>
      </c>
      <c r="M70">
        <v>54</v>
      </c>
      <c r="N70">
        <v>51</v>
      </c>
      <c r="O70">
        <v>53</v>
      </c>
      <c r="P70" s="5">
        <f t="shared" si="19"/>
        <v>2.8635642126552705</v>
      </c>
      <c r="Q70">
        <f t="shared" si="21"/>
        <v>46</v>
      </c>
      <c r="R70" s="2">
        <f t="shared" si="22"/>
        <v>55</v>
      </c>
      <c r="S70" s="27">
        <f t="shared" si="20"/>
        <v>19.565217391304348</v>
      </c>
    </row>
    <row r="71" spans="1:66" x14ac:dyDescent="0.25">
      <c r="A71" s="73"/>
      <c r="B71" s="3" t="s">
        <v>100</v>
      </c>
      <c r="C71" s="21" t="s">
        <v>148</v>
      </c>
      <c r="D71">
        <v>42</v>
      </c>
      <c r="E71">
        <v>52</v>
      </c>
      <c r="F71">
        <v>56</v>
      </c>
      <c r="G71">
        <v>62</v>
      </c>
      <c r="H71">
        <v>57</v>
      </c>
      <c r="I71">
        <v>43</v>
      </c>
      <c r="J71">
        <v>60</v>
      </c>
      <c r="K71">
        <v>63</v>
      </c>
      <c r="L71">
        <v>58</v>
      </c>
      <c r="M71">
        <v>54</v>
      </c>
      <c r="N71">
        <v>53</v>
      </c>
      <c r="O71">
        <v>52</v>
      </c>
      <c r="P71" s="5">
        <f t="shared" si="19"/>
        <v>7.4966659255965125</v>
      </c>
      <c r="Q71">
        <f t="shared" si="21"/>
        <v>56</v>
      </c>
      <c r="R71" s="2">
        <f t="shared" si="22"/>
        <v>63</v>
      </c>
      <c r="S71" s="27">
        <f t="shared" si="20"/>
        <v>12.5</v>
      </c>
      <c r="T71">
        <v>45</v>
      </c>
      <c r="U71">
        <v>50</v>
      </c>
      <c r="V71">
        <v>47</v>
      </c>
      <c r="W71">
        <v>48</v>
      </c>
      <c r="X71">
        <v>48</v>
      </c>
      <c r="Y71">
        <v>45</v>
      </c>
      <c r="Z71">
        <v>59</v>
      </c>
      <c r="AA71">
        <v>56</v>
      </c>
      <c r="AB71">
        <v>57</v>
      </c>
      <c r="AC71">
        <v>55</v>
      </c>
      <c r="AD71">
        <v>54</v>
      </c>
      <c r="AE71">
        <v>53</v>
      </c>
      <c r="AI71">
        <v>47</v>
      </c>
      <c r="AJ71">
        <v>48</v>
      </c>
      <c r="AK71">
        <v>49</v>
      </c>
      <c r="AL71">
        <v>49</v>
      </c>
      <c r="AM71">
        <v>51</v>
      </c>
      <c r="AN71">
        <v>46</v>
      </c>
      <c r="AO71">
        <v>58</v>
      </c>
      <c r="AP71">
        <v>57</v>
      </c>
      <c r="AQ71">
        <v>56</v>
      </c>
      <c r="AR71">
        <v>57</v>
      </c>
      <c r="AS71">
        <v>56</v>
      </c>
      <c r="AT71">
        <v>55</v>
      </c>
      <c r="AX71">
        <v>56</v>
      </c>
      <c r="AY71">
        <v>55</v>
      </c>
      <c r="AZ71">
        <v>46</v>
      </c>
      <c r="BA71">
        <v>48</v>
      </c>
      <c r="BB71">
        <v>48</v>
      </c>
      <c r="BC71">
        <v>46</v>
      </c>
      <c r="BD71">
        <v>56</v>
      </c>
      <c r="BE71">
        <v>55</v>
      </c>
      <c r="BF71">
        <v>53</v>
      </c>
      <c r="BG71">
        <v>49</v>
      </c>
      <c r="BH71">
        <v>48</v>
      </c>
      <c r="BI71">
        <v>49</v>
      </c>
    </row>
    <row r="72" spans="1:66" x14ac:dyDescent="0.25">
      <c r="A72" s="73"/>
      <c r="B72" s="3" t="s">
        <v>100</v>
      </c>
      <c r="C72" s="21" t="s">
        <v>149</v>
      </c>
      <c r="D72">
        <v>52</v>
      </c>
      <c r="E72">
        <v>53</v>
      </c>
      <c r="F72">
        <v>53</v>
      </c>
      <c r="G72">
        <v>50</v>
      </c>
      <c r="H72">
        <v>49</v>
      </c>
      <c r="I72">
        <v>44</v>
      </c>
      <c r="J72">
        <v>58</v>
      </c>
      <c r="K72">
        <v>59</v>
      </c>
      <c r="L72">
        <v>58</v>
      </c>
      <c r="M72">
        <v>57</v>
      </c>
      <c r="N72">
        <v>55</v>
      </c>
      <c r="O72">
        <v>52</v>
      </c>
      <c r="P72" s="5">
        <f t="shared" si="19"/>
        <v>1.8165902124584949</v>
      </c>
      <c r="Q72">
        <f t="shared" si="21"/>
        <v>52</v>
      </c>
      <c r="R72" s="2">
        <f t="shared" si="22"/>
        <v>59</v>
      </c>
      <c r="S72" s="27">
        <f t="shared" si="20"/>
        <v>13.461538461538462</v>
      </c>
      <c r="T72">
        <v>51</v>
      </c>
      <c r="U72">
        <v>52</v>
      </c>
      <c r="V72">
        <v>54</v>
      </c>
      <c r="W72">
        <v>53</v>
      </c>
      <c r="X72">
        <v>55</v>
      </c>
      <c r="Y72">
        <v>45</v>
      </c>
      <c r="Z72">
        <v>57</v>
      </c>
      <c r="AA72">
        <v>59</v>
      </c>
      <c r="AB72">
        <v>54</v>
      </c>
      <c r="AC72">
        <v>52</v>
      </c>
      <c r="AD72">
        <v>54</v>
      </c>
      <c r="AE72">
        <v>50</v>
      </c>
    </row>
    <row r="73" spans="1:66" x14ac:dyDescent="0.25">
      <c r="A73" s="73"/>
      <c r="B73" s="3" t="s">
        <v>100</v>
      </c>
      <c r="C73" s="21" t="s">
        <v>150</v>
      </c>
      <c r="E73">
        <v>48</v>
      </c>
      <c r="F73">
        <v>46</v>
      </c>
      <c r="G73">
        <v>47</v>
      </c>
      <c r="H73">
        <v>47</v>
      </c>
      <c r="I73">
        <v>41</v>
      </c>
      <c r="J73">
        <v>50</v>
      </c>
      <c r="K73">
        <v>47</v>
      </c>
      <c r="L73">
        <v>47</v>
      </c>
      <c r="M73">
        <v>43</v>
      </c>
      <c r="N73">
        <v>45</v>
      </c>
      <c r="O73">
        <v>45</v>
      </c>
      <c r="P73" s="5">
        <f t="shared" si="19"/>
        <v>0.81649658092772603</v>
      </c>
      <c r="Q73">
        <f>MEDIAN(D73:H73)</f>
        <v>47</v>
      </c>
      <c r="R73" s="2">
        <f>MAX(J73:O73)</f>
        <v>50</v>
      </c>
      <c r="S73" s="27">
        <f t="shared" si="20"/>
        <v>6.3829787234042552</v>
      </c>
      <c r="T73">
        <v>43</v>
      </c>
      <c r="U73">
        <v>41</v>
      </c>
      <c r="V73">
        <v>42</v>
      </c>
      <c r="W73">
        <v>41</v>
      </c>
      <c r="X73">
        <v>40</v>
      </c>
      <c r="Y73">
        <v>43</v>
      </c>
      <c r="Z73">
        <v>44</v>
      </c>
      <c r="AA73">
        <v>47</v>
      </c>
      <c r="AB73">
        <v>42</v>
      </c>
      <c r="AC73">
        <v>43</v>
      </c>
      <c r="AD73">
        <v>42</v>
      </c>
      <c r="AE73">
        <v>42</v>
      </c>
      <c r="AI73">
        <v>44</v>
      </c>
      <c r="AJ73">
        <v>43</v>
      </c>
      <c r="AK73">
        <v>48</v>
      </c>
      <c r="AL73">
        <v>47</v>
      </c>
      <c r="AM73">
        <v>52</v>
      </c>
      <c r="AN73">
        <v>43</v>
      </c>
      <c r="AO73">
        <v>57</v>
      </c>
      <c r="AP73">
        <v>53</v>
      </c>
      <c r="AQ73">
        <v>49</v>
      </c>
      <c r="AR73">
        <v>48</v>
      </c>
      <c r="AS73">
        <v>46</v>
      </c>
      <c r="AT73">
        <v>46</v>
      </c>
      <c r="AX73">
        <v>40</v>
      </c>
      <c r="AY73">
        <v>42</v>
      </c>
      <c r="AZ73">
        <v>45</v>
      </c>
      <c r="BA73">
        <v>43</v>
      </c>
      <c r="BB73">
        <v>41</v>
      </c>
      <c r="BC73">
        <v>41</v>
      </c>
      <c r="BD73">
        <v>56</v>
      </c>
      <c r="BE73">
        <v>51</v>
      </c>
      <c r="BF73">
        <v>49</v>
      </c>
      <c r="BG73">
        <v>47</v>
      </c>
      <c r="BH73">
        <v>46</v>
      </c>
      <c r="BI73">
        <v>43</v>
      </c>
    </row>
    <row r="74" spans="1:66" x14ac:dyDescent="0.25">
      <c r="A74" s="73"/>
      <c r="B74" s="3"/>
      <c r="C74" s="21"/>
      <c r="P74" s="31" t="s">
        <v>110</v>
      </c>
      <c r="Q74" s="30">
        <f>AVERAGE(Q64:Q73)</f>
        <v>54.1</v>
      </c>
      <c r="R74" s="30">
        <f>AVERAGE(R65:R73)</f>
        <v>59.777777777777779</v>
      </c>
      <c r="S74" s="29">
        <f>AVERAGE(S64:S73)</f>
        <v>14.303500170296164</v>
      </c>
    </row>
    <row r="75" spans="1:66" x14ac:dyDescent="0.25">
      <c r="A75" s="73"/>
      <c r="B75" s="3"/>
      <c r="P75" s="31" t="s">
        <v>111</v>
      </c>
      <c r="Q75" s="29">
        <f>STDEVA(Q64:Q73)</f>
        <v>8.7869853255318056</v>
      </c>
      <c r="R75" s="29">
        <f>STDEVA(R65:R73)</f>
        <v>8.6570459421470289</v>
      </c>
      <c r="S75" s="29">
        <f>STDEVA(S64:S73)</f>
        <v>8.0616478799960696</v>
      </c>
    </row>
    <row r="76" spans="1:66" ht="16.5" thickBot="1" x14ac:dyDescent="0.3">
      <c r="A76" s="73"/>
      <c r="B76" s="3"/>
      <c r="P76" s="31" t="s">
        <v>112</v>
      </c>
      <c r="Q76" s="32">
        <f>Q75/Q74</f>
        <v>0.16242117052739011</v>
      </c>
      <c r="R76" s="32">
        <f>R75/R74</f>
        <v>0.14482047115115848</v>
      </c>
      <c r="S76" s="32">
        <f>S75/S74</f>
        <v>0.56361364589190255</v>
      </c>
    </row>
    <row r="77" spans="1:66" x14ac:dyDescent="0.25">
      <c r="A77" s="4"/>
      <c r="B77" s="3"/>
      <c r="N77" s="9"/>
      <c r="O77" s="8" t="s">
        <v>113</v>
      </c>
      <c r="P77" s="10">
        <v>5</v>
      </c>
      <c r="Q77" s="15" t="s">
        <v>114</v>
      </c>
      <c r="R77" s="16"/>
      <c r="S77" s="16"/>
      <c r="T77" s="16"/>
      <c r="U77" s="17"/>
      <c r="AC77" s="9"/>
      <c r="AD77" s="9"/>
      <c r="AE77" s="8" t="s">
        <v>113</v>
      </c>
      <c r="AF77" s="10">
        <v>5</v>
      </c>
      <c r="AG77" s="15" t="s">
        <v>114</v>
      </c>
      <c r="AH77" s="16"/>
      <c r="AI77" s="11"/>
      <c r="AJ77" s="12"/>
      <c r="AR77" s="9"/>
      <c r="AS77" s="9"/>
      <c r="AT77" s="8" t="s">
        <v>113</v>
      </c>
      <c r="AU77" s="10">
        <v>5</v>
      </c>
      <c r="AV77" s="15" t="s">
        <v>114</v>
      </c>
      <c r="AW77" s="16"/>
      <c r="AX77" s="11"/>
      <c r="AY77" s="12"/>
      <c r="BG77" s="9"/>
      <c r="BH77" s="9"/>
      <c r="BI77" s="8" t="s">
        <v>113</v>
      </c>
      <c r="BJ77" s="10">
        <v>5</v>
      </c>
      <c r="BK77" s="15" t="s">
        <v>114</v>
      </c>
      <c r="BL77" s="16"/>
      <c r="BM77" s="11"/>
      <c r="BN77" s="12"/>
    </row>
    <row r="78" spans="1:66" ht="16.5" thickBot="1" x14ac:dyDescent="0.3">
      <c r="A78" s="4"/>
      <c r="B78" s="3"/>
      <c r="N78" s="9"/>
      <c r="O78" s="8" t="s">
        <v>115</v>
      </c>
      <c r="P78" s="10">
        <v>10</v>
      </c>
      <c r="Q78" s="18" t="s">
        <v>114</v>
      </c>
      <c r="R78" s="54"/>
      <c r="S78" s="13"/>
      <c r="T78" s="13"/>
      <c r="U78" s="14"/>
      <c r="AC78" s="9"/>
      <c r="AD78" s="9"/>
      <c r="AE78" s="8" t="s">
        <v>115</v>
      </c>
      <c r="AF78" s="10">
        <v>10</v>
      </c>
      <c r="AG78" s="18" t="s">
        <v>114</v>
      </c>
      <c r="AH78" s="13"/>
      <c r="AI78" s="13"/>
      <c r="AJ78" s="14"/>
      <c r="AR78" s="9"/>
      <c r="AS78" s="9"/>
      <c r="AT78" s="8" t="s">
        <v>115</v>
      </c>
      <c r="AU78" s="10">
        <v>10</v>
      </c>
      <c r="AV78" s="18" t="s">
        <v>114</v>
      </c>
      <c r="AW78" s="13"/>
      <c r="AX78" s="13"/>
      <c r="AY78" s="14"/>
      <c r="BG78" s="9"/>
      <c r="BH78" s="9"/>
      <c r="BI78" s="8" t="s">
        <v>115</v>
      </c>
      <c r="BJ78" s="10">
        <v>10</v>
      </c>
      <c r="BK78" s="18" t="s">
        <v>114</v>
      </c>
      <c r="BL78" s="13"/>
      <c r="BM78" s="13"/>
      <c r="BN78" s="14"/>
    </row>
    <row r="79" spans="1:66" x14ac:dyDescent="0.25">
      <c r="A79" s="4"/>
      <c r="B79" s="3"/>
      <c r="O79" s="2" t="s">
        <v>116</v>
      </c>
      <c r="P79" s="5">
        <f>SQRT(AVERAGE(P64:P76))</f>
        <v>1.6240851736322617</v>
      </c>
      <c r="AE79" s="2" t="s">
        <v>116</v>
      </c>
      <c r="AF79" s="5" t="e">
        <f>SQRT(AVERAGE(AF64:AF76))</f>
        <v>#DIV/0!</v>
      </c>
      <c r="AT79" s="2" t="s">
        <v>116</v>
      </c>
      <c r="AU79" s="5" t="e">
        <f>SQRT(AVERAGE(AU64:AU76))</f>
        <v>#DIV/0!</v>
      </c>
      <c r="BI79" s="2" t="s">
        <v>116</v>
      </c>
      <c r="BJ79" s="5" t="e">
        <f>SQRT(AVERAGE(BJ64:BJ76))</f>
        <v>#DIV/0!</v>
      </c>
    </row>
    <row r="80" spans="1:66" x14ac:dyDescent="0.25">
      <c r="A80" s="4"/>
      <c r="B80" s="3"/>
      <c r="O80" s="2" t="s">
        <v>117</v>
      </c>
      <c r="P80" s="5">
        <f>2.77*P79</f>
        <v>4.4987159309613647</v>
      </c>
      <c r="AE80" s="2" t="s">
        <v>117</v>
      </c>
      <c r="AF80" s="5" t="e">
        <f>2.77*AF79</f>
        <v>#DIV/0!</v>
      </c>
      <c r="AT80" s="2" t="s">
        <v>117</v>
      </c>
      <c r="AU80" s="5" t="e">
        <f>2.77*AU79</f>
        <v>#DIV/0!</v>
      </c>
      <c r="BI80" s="2" t="s">
        <v>117</v>
      </c>
      <c r="BJ80" s="5" t="e">
        <f>2.77*BJ79</f>
        <v>#DIV/0!</v>
      </c>
    </row>
    <row r="81" spans="1:66" x14ac:dyDescent="0.25">
      <c r="A81" s="4"/>
      <c r="B81" s="3"/>
      <c r="O81" s="2" t="s">
        <v>118</v>
      </c>
      <c r="P81" s="5">
        <f>P80-(1.96*(P79/(SQRT(2*P78*(P77-1)))))</f>
        <v>4.1428225757112189</v>
      </c>
      <c r="AE81" s="2" t="s">
        <v>118</v>
      </c>
      <c r="AF81" s="5" t="e">
        <f>AF80-(1.96*(AF79/(SQRT(2*AF78*(AF77-1)))))</f>
        <v>#DIV/0!</v>
      </c>
      <c r="AT81" s="2" t="s">
        <v>118</v>
      </c>
      <c r="AU81" s="5" t="e">
        <f>AU80-(1.96*(AU79/(SQRT(2*AU78*(AU77-1)))))</f>
        <v>#DIV/0!</v>
      </c>
      <c r="BI81" s="2" t="s">
        <v>118</v>
      </c>
      <c r="BJ81" s="5" t="e">
        <f>BJ80-(1.96*(BJ79/(SQRT(2*BJ78*(BJ77-1)))))</f>
        <v>#DIV/0!</v>
      </c>
    </row>
    <row r="82" spans="1:66" x14ac:dyDescent="0.25">
      <c r="A82" s="4"/>
      <c r="B82" s="3"/>
      <c r="O82" s="2" t="s">
        <v>119</v>
      </c>
      <c r="P82" s="5">
        <f>P80+(1.96*(P79/(SQRT(2*P78*(P77-1)))))</f>
        <v>4.8546092862115104</v>
      </c>
      <c r="AE82" s="2" t="s">
        <v>119</v>
      </c>
      <c r="AF82" s="5" t="e">
        <f>AF80+(1.96*(AF79/(SQRT(2*AF78*(AF77-1)))))</f>
        <v>#DIV/0!</v>
      </c>
      <c r="AT82" s="2" t="s">
        <v>119</v>
      </c>
      <c r="AU82" s="5" t="e">
        <f>AU80+(1.96*(AU79/(SQRT(2*AU78*(AU77-1)))))</f>
        <v>#DIV/0!</v>
      </c>
      <c r="BI82" s="2" t="s">
        <v>119</v>
      </c>
      <c r="BJ82" s="5" t="e">
        <f>BJ80+(1.96*(BJ79/(SQRT(2*BJ78*(BJ77-1)))))</f>
        <v>#DIV/0!</v>
      </c>
    </row>
    <row r="83" spans="1:66" s="58" customFormat="1" x14ac:dyDescent="0.25">
      <c r="A83" s="56"/>
      <c r="B83" s="57"/>
      <c r="O83" s="59"/>
      <c r="P83" s="60"/>
      <c r="AE83" s="59"/>
      <c r="AF83" s="60"/>
      <c r="AT83" s="59"/>
      <c r="AU83" s="60"/>
      <c r="BI83" s="59"/>
      <c r="BJ83" s="60"/>
    </row>
    <row r="84" spans="1:66" x14ac:dyDescent="0.25">
      <c r="A84" s="68" t="s">
        <v>151</v>
      </c>
      <c r="B84" s="3" t="s">
        <v>100</v>
      </c>
      <c r="C84" s="21" t="s">
        <v>152</v>
      </c>
      <c r="D84">
        <v>68</v>
      </c>
      <c r="E84">
        <v>73</v>
      </c>
      <c r="F84">
        <v>74</v>
      </c>
      <c r="G84">
        <v>74</v>
      </c>
      <c r="H84">
        <v>77</v>
      </c>
      <c r="I84">
        <v>54</v>
      </c>
      <c r="J84">
        <v>77</v>
      </c>
      <c r="K84">
        <v>82</v>
      </c>
      <c r="L84">
        <v>77</v>
      </c>
      <c r="M84">
        <v>79</v>
      </c>
      <c r="P84" s="5">
        <f t="shared" ref="P84:P93" si="23">IFERROR(STDEVA(D84:H84),#N/A)</f>
        <v>3.2710854467592254</v>
      </c>
      <c r="Q84">
        <f>MEDIAN(D84:H84)</f>
        <v>74</v>
      </c>
      <c r="R84" s="2">
        <f>MAX(J84:O84)</f>
        <v>82</v>
      </c>
      <c r="S84" s="27">
        <f t="shared" ref="S84:S93" si="24">100*(R84-Q84)/Q84</f>
        <v>10.810810810810811</v>
      </c>
    </row>
    <row r="85" spans="1:66" x14ac:dyDescent="0.25">
      <c r="A85" s="68"/>
      <c r="B85" s="3" t="s">
        <v>100</v>
      </c>
      <c r="C85" s="21" t="s">
        <v>153</v>
      </c>
      <c r="D85">
        <v>42</v>
      </c>
      <c r="E85">
        <v>47</v>
      </c>
      <c r="F85">
        <v>48</v>
      </c>
      <c r="G85">
        <v>52</v>
      </c>
      <c r="H85">
        <v>52</v>
      </c>
      <c r="I85">
        <v>40</v>
      </c>
      <c r="J85">
        <v>41</v>
      </c>
      <c r="K85">
        <v>41</v>
      </c>
      <c r="L85">
        <v>41</v>
      </c>
      <c r="M85">
        <v>41</v>
      </c>
      <c r="N85">
        <v>41</v>
      </c>
      <c r="O85">
        <v>40</v>
      </c>
      <c r="P85" s="5">
        <f t="shared" si="23"/>
        <v>4.1472882706655438</v>
      </c>
      <c r="Q85">
        <f t="shared" ref="Q85:Q92" si="25">MEDIAN(D85:H85)</f>
        <v>48</v>
      </c>
      <c r="R85" s="2">
        <f t="shared" ref="R85:R92" si="26">MAX(J85:O85)</f>
        <v>41</v>
      </c>
      <c r="S85" s="27">
        <f t="shared" si="24"/>
        <v>-14.583333333333334</v>
      </c>
    </row>
    <row r="86" spans="1:66" x14ac:dyDescent="0.25">
      <c r="A86" s="68"/>
      <c r="B86" s="3" t="s">
        <v>100</v>
      </c>
      <c r="C86" s="21" t="s">
        <v>154</v>
      </c>
      <c r="D86">
        <v>39</v>
      </c>
      <c r="E86">
        <v>43</v>
      </c>
      <c r="F86">
        <v>42</v>
      </c>
      <c r="G86">
        <v>44</v>
      </c>
      <c r="H86">
        <v>42</v>
      </c>
      <c r="I86">
        <v>38</v>
      </c>
      <c r="J86">
        <v>50</v>
      </c>
      <c r="K86">
        <v>46</v>
      </c>
      <c r="L86">
        <v>46</v>
      </c>
      <c r="M86">
        <v>47</v>
      </c>
      <c r="N86">
        <v>47</v>
      </c>
      <c r="O86">
        <v>46</v>
      </c>
      <c r="P86" s="5">
        <f t="shared" si="23"/>
        <v>1.8708286933869707</v>
      </c>
      <c r="Q86">
        <f t="shared" si="25"/>
        <v>42</v>
      </c>
      <c r="R86" s="2">
        <f t="shared" si="26"/>
        <v>50</v>
      </c>
      <c r="S86" s="27">
        <f t="shared" si="24"/>
        <v>19.047619047619047</v>
      </c>
      <c r="T86">
        <v>41</v>
      </c>
      <c r="U86">
        <v>41</v>
      </c>
      <c r="V86">
        <v>43</v>
      </c>
      <c r="W86">
        <v>42</v>
      </c>
      <c r="X86">
        <v>46</v>
      </c>
      <c r="Y86">
        <v>40</v>
      </c>
      <c r="Z86">
        <v>45</v>
      </c>
      <c r="AA86">
        <v>50</v>
      </c>
      <c r="AB86">
        <v>46</v>
      </c>
      <c r="AC86">
        <v>46</v>
      </c>
      <c r="AD86">
        <v>44</v>
      </c>
      <c r="AE86">
        <v>44</v>
      </c>
      <c r="AI86">
        <v>52</v>
      </c>
      <c r="AJ86">
        <v>51</v>
      </c>
      <c r="AK86">
        <v>51</v>
      </c>
      <c r="AL86">
        <v>53</v>
      </c>
      <c r="AM86">
        <v>52</v>
      </c>
      <c r="AN86">
        <v>39</v>
      </c>
      <c r="AO86">
        <v>53</v>
      </c>
      <c r="AP86">
        <v>55</v>
      </c>
      <c r="AQ86">
        <v>54</v>
      </c>
      <c r="AR86">
        <v>52</v>
      </c>
      <c r="AS86">
        <v>51</v>
      </c>
      <c r="AT86">
        <v>49</v>
      </c>
      <c r="AX86">
        <v>44</v>
      </c>
      <c r="AY86">
        <v>41</v>
      </c>
      <c r="AZ86">
        <v>47</v>
      </c>
      <c r="BA86">
        <v>45</v>
      </c>
      <c r="BB86">
        <v>44</v>
      </c>
      <c r="BC86">
        <v>41</v>
      </c>
      <c r="BD86">
        <v>48</v>
      </c>
      <c r="BE86">
        <v>51</v>
      </c>
      <c r="BF86">
        <v>46</v>
      </c>
      <c r="BG86">
        <v>47</v>
      </c>
      <c r="BH86">
        <v>47</v>
      </c>
      <c r="BI86">
        <v>50</v>
      </c>
    </row>
    <row r="87" spans="1:66" x14ac:dyDescent="0.25">
      <c r="A87" s="68"/>
      <c r="B87" s="3" t="s">
        <v>100</v>
      </c>
      <c r="C87" s="21" t="s">
        <v>155</v>
      </c>
      <c r="D87">
        <v>49</v>
      </c>
      <c r="E87">
        <v>42</v>
      </c>
      <c r="F87">
        <v>42</v>
      </c>
      <c r="G87">
        <v>43</v>
      </c>
      <c r="H87">
        <v>43</v>
      </c>
      <c r="I87">
        <v>43</v>
      </c>
      <c r="J87">
        <v>59</v>
      </c>
      <c r="K87">
        <v>59</v>
      </c>
      <c r="L87">
        <v>56</v>
      </c>
      <c r="M87">
        <v>53</v>
      </c>
      <c r="N87">
        <v>52</v>
      </c>
      <c r="O87">
        <v>50</v>
      </c>
      <c r="P87" s="5">
        <f t="shared" si="23"/>
        <v>2.9495762407505248</v>
      </c>
      <c r="Q87">
        <f t="shared" si="25"/>
        <v>43</v>
      </c>
      <c r="R87" s="2">
        <f t="shared" si="26"/>
        <v>59</v>
      </c>
      <c r="S87" s="27">
        <f t="shared" si="24"/>
        <v>37.209302325581397</v>
      </c>
    </row>
    <row r="88" spans="1:66" x14ac:dyDescent="0.25">
      <c r="A88" s="68"/>
      <c r="B88" s="3" t="s">
        <v>100</v>
      </c>
      <c r="C88" s="21" t="s">
        <v>156</v>
      </c>
      <c r="D88">
        <v>45</v>
      </c>
      <c r="E88">
        <v>52</v>
      </c>
      <c r="F88">
        <v>58</v>
      </c>
      <c r="G88">
        <v>55</v>
      </c>
      <c r="H88">
        <v>56</v>
      </c>
      <c r="I88">
        <v>48</v>
      </c>
      <c r="J88">
        <v>53</v>
      </c>
      <c r="K88">
        <v>60</v>
      </c>
      <c r="L88">
        <v>60</v>
      </c>
      <c r="M88">
        <v>52</v>
      </c>
      <c r="N88">
        <v>50</v>
      </c>
      <c r="O88">
        <v>54</v>
      </c>
      <c r="P88" s="5">
        <f t="shared" si="23"/>
        <v>5.0695167422546312</v>
      </c>
      <c r="Q88">
        <f t="shared" si="25"/>
        <v>55</v>
      </c>
      <c r="R88" s="2">
        <f t="shared" si="26"/>
        <v>60</v>
      </c>
      <c r="S88" s="27">
        <f t="shared" si="24"/>
        <v>9.0909090909090917</v>
      </c>
    </row>
    <row r="89" spans="1:66" x14ac:dyDescent="0.25">
      <c r="A89" s="68"/>
      <c r="B89" s="3" t="s">
        <v>100</v>
      </c>
      <c r="C89" s="21" t="s">
        <v>157</v>
      </c>
      <c r="D89">
        <v>50</v>
      </c>
      <c r="E89">
        <v>48</v>
      </c>
      <c r="F89">
        <v>49</v>
      </c>
      <c r="G89">
        <v>52</v>
      </c>
      <c r="H89">
        <v>50</v>
      </c>
      <c r="I89">
        <v>43</v>
      </c>
      <c r="J89">
        <v>55</v>
      </c>
      <c r="K89">
        <v>51</v>
      </c>
      <c r="L89">
        <v>53</v>
      </c>
      <c r="M89">
        <v>53</v>
      </c>
      <c r="N89">
        <v>51</v>
      </c>
      <c r="O89">
        <v>49</v>
      </c>
      <c r="P89" s="5">
        <f t="shared" si="23"/>
        <v>1.4832396974191324</v>
      </c>
      <c r="Q89">
        <f t="shared" si="25"/>
        <v>50</v>
      </c>
      <c r="R89" s="2">
        <f t="shared" si="26"/>
        <v>55</v>
      </c>
      <c r="S89" s="27">
        <f t="shared" si="24"/>
        <v>10</v>
      </c>
    </row>
    <row r="90" spans="1:66" x14ac:dyDescent="0.25">
      <c r="A90" s="68"/>
      <c r="B90" s="3" t="s">
        <v>100</v>
      </c>
      <c r="C90" s="21" t="s">
        <v>158</v>
      </c>
      <c r="D90">
        <v>52</v>
      </c>
      <c r="E90">
        <v>46</v>
      </c>
      <c r="F90">
        <v>46</v>
      </c>
      <c r="G90">
        <v>47</v>
      </c>
      <c r="H90">
        <v>47</v>
      </c>
      <c r="I90">
        <v>44</v>
      </c>
      <c r="J90">
        <v>42</v>
      </c>
      <c r="K90">
        <v>58</v>
      </c>
      <c r="L90">
        <v>56</v>
      </c>
      <c r="M90">
        <v>53</v>
      </c>
      <c r="N90">
        <v>49</v>
      </c>
      <c r="O90">
        <v>48</v>
      </c>
      <c r="P90" s="5">
        <f t="shared" si="23"/>
        <v>2.5099800796022271</v>
      </c>
      <c r="Q90">
        <f t="shared" si="25"/>
        <v>47</v>
      </c>
      <c r="R90" s="2">
        <f t="shared" si="26"/>
        <v>58</v>
      </c>
      <c r="S90" s="27">
        <f t="shared" si="24"/>
        <v>23.404255319148938</v>
      </c>
    </row>
    <row r="91" spans="1:66" x14ac:dyDescent="0.25">
      <c r="A91" s="68"/>
      <c r="B91" s="3" t="s">
        <v>100</v>
      </c>
      <c r="C91" s="21" t="s">
        <v>159</v>
      </c>
      <c r="D91">
        <v>53</v>
      </c>
      <c r="E91">
        <v>52</v>
      </c>
      <c r="F91">
        <v>52</v>
      </c>
      <c r="G91">
        <v>52</v>
      </c>
      <c r="H91">
        <v>54</v>
      </c>
      <c r="I91">
        <v>42</v>
      </c>
      <c r="J91">
        <v>58</v>
      </c>
      <c r="K91">
        <v>58</v>
      </c>
      <c r="L91">
        <v>57</v>
      </c>
      <c r="M91">
        <v>57</v>
      </c>
      <c r="N91">
        <v>54</v>
      </c>
      <c r="O91">
        <v>58</v>
      </c>
      <c r="P91" s="5">
        <f t="shared" si="23"/>
        <v>0.89442719099991586</v>
      </c>
      <c r="Q91">
        <f t="shared" si="25"/>
        <v>52</v>
      </c>
      <c r="R91" s="2">
        <f t="shared" si="26"/>
        <v>58</v>
      </c>
      <c r="S91" s="27">
        <f t="shared" si="24"/>
        <v>11.538461538461538</v>
      </c>
    </row>
    <row r="92" spans="1:66" x14ac:dyDescent="0.25">
      <c r="A92" s="68"/>
      <c r="B92" s="3" t="s">
        <v>100</v>
      </c>
      <c r="C92" s="21" t="s">
        <v>160</v>
      </c>
      <c r="D92">
        <v>41</v>
      </c>
      <c r="E92">
        <v>46</v>
      </c>
      <c r="F92">
        <v>46</v>
      </c>
      <c r="G92">
        <v>44</v>
      </c>
      <c r="H92">
        <v>43</v>
      </c>
      <c r="I92">
        <v>40</v>
      </c>
      <c r="J92">
        <v>41</v>
      </c>
      <c r="K92">
        <v>41</v>
      </c>
      <c r="L92">
        <v>41</v>
      </c>
      <c r="M92">
        <v>41</v>
      </c>
      <c r="N92">
        <v>40</v>
      </c>
      <c r="O92">
        <v>41</v>
      </c>
      <c r="P92" s="5">
        <f t="shared" si="23"/>
        <v>2.1213203435596424</v>
      </c>
      <c r="Q92">
        <f t="shared" si="25"/>
        <v>44</v>
      </c>
      <c r="R92" s="2">
        <f t="shared" si="26"/>
        <v>41</v>
      </c>
      <c r="S92" s="27">
        <f t="shared" si="24"/>
        <v>-6.8181818181818183</v>
      </c>
    </row>
    <row r="93" spans="1:66" x14ac:dyDescent="0.25">
      <c r="A93" s="68"/>
      <c r="B93" s="3" t="s">
        <v>100</v>
      </c>
      <c r="C93" s="21" t="s">
        <v>161</v>
      </c>
      <c r="D93">
        <v>54</v>
      </c>
      <c r="E93">
        <v>52</v>
      </c>
      <c r="F93">
        <v>53</v>
      </c>
      <c r="G93">
        <v>53</v>
      </c>
      <c r="H93">
        <v>52</v>
      </c>
      <c r="I93">
        <v>42</v>
      </c>
      <c r="J93">
        <v>47</v>
      </c>
      <c r="K93">
        <v>54</v>
      </c>
      <c r="L93">
        <v>51</v>
      </c>
      <c r="M93">
        <v>52</v>
      </c>
      <c r="N93">
        <v>52</v>
      </c>
      <c r="O93">
        <v>49</v>
      </c>
      <c r="P93" s="5">
        <f t="shared" si="23"/>
        <v>0.83666002653407556</v>
      </c>
      <c r="Q93">
        <f>MEDIAN(D93:H93)</f>
        <v>53</v>
      </c>
      <c r="R93" s="2">
        <f>MAX(J93:O93)</f>
        <v>54</v>
      </c>
      <c r="S93" s="27">
        <f t="shared" si="24"/>
        <v>1.8867924528301887</v>
      </c>
    </row>
    <row r="94" spans="1:66" x14ac:dyDescent="0.25">
      <c r="A94" s="68"/>
      <c r="B94" s="3" t="s">
        <v>100</v>
      </c>
      <c r="C94" s="21" t="s">
        <v>162</v>
      </c>
      <c r="D94">
        <v>40</v>
      </c>
      <c r="E94">
        <v>41</v>
      </c>
      <c r="F94">
        <v>52</v>
      </c>
      <c r="G94">
        <v>53</v>
      </c>
      <c r="H94">
        <v>51</v>
      </c>
      <c r="I94">
        <v>31</v>
      </c>
      <c r="J94">
        <v>43</v>
      </c>
      <c r="K94">
        <v>46</v>
      </c>
      <c r="L94">
        <v>44</v>
      </c>
      <c r="M94">
        <v>42</v>
      </c>
      <c r="N94">
        <v>41</v>
      </c>
      <c r="O94">
        <v>42</v>
      </c>
      <c r="P94" s="5">
        <f t="shared" ref="P94:P96" si="27">IFERROR(STDEVA(D94:H94),#N/A)</f>
        <v>6.3482280992415658</v>
      </c>
      <c r="Q94">
        <f>MEDIAN(D94:H94)</f>
        <v>51</v>
      </c>
      <c r="R94" s="2">
        <f>MAX(J94:O94)</f>
        <v>46</v>
      </c>
      <c r="S94" s="27">
        <f t="shared" ref="S94:S96" si="28">100*(R94-Q94)/Q94</f>
        <v>-9.8039215686274517</v>
      </c>
    </row>
    <row r="95" spans="1:66" ht="16.5" thickBot="1" x14ac:dyDescent="0.3">
      <c r="A95" s="68"/>
      <c r="B95" s="3" t="s">
        <v>100</v>
      </c>
      <c r="C95" s="21" t="s">
        <v>163</v>
      </c>
      <c r="D95">
        <v>49</v>
      </c>
      <c r="E95">
        <v>51</v>
      </c>
      <c r="F95">
        <v>56</v>
      </c>
      <c r="G95">
        <v>55</v>
      </c>
      <c r="H95">
        <v>53</v>
      </c>
      <c r="I95">
        <v>40</v>
      </c>
      <c r="J95">
        <v>52</v>
      </c>
      <c r="K95">
        <v>58</v>
      </c>
      <c r="L95">
        <v>57</v>
      </c>
      <c r="M95">
        <v>53</v>
      </c>
      <c r="N95">
        <v>51</v>
      </c>
      <c r="O95">
        <v>49</v>
      </c>
      <c r="P95" s="5">
        <f t="shared" si="27"/>
        <v>2.8635642126552705</v>
      </c>
      <c r="Q95">
        <f t="shared" ref="Q95:Q96" si="29">MEDIAN(D95:H95)</f>
        <v>53</v>
      </c>
      <c r="R95" s="2">
        <f t="shared" ref="R95:R96" si="30">MAX(J95:O95)</f>
        <v>58</v>
      </c>
      <c r="S95" s="27">
        <f t="shared" si="28"/>
        <v>9.433962264150944</v>
      </c>
      <c r="T95">
        <v>47</v>
      </c>
      <c r="U95">
        <v>44</v>
      </c>
      <c r="V95">
        <v>42</v>
      </c>
      <c r="W95">
        <v>57</v>
      </c>
      <c r="X95">
        <v>58</v>
      </c>
      <c r="Y95">
        <v>57</v>
      </c>
      <c r="Z95">
        <v>41</v>
      </c>
      <c r="AA95">
        <v>52</v>
      </c>
      <c r="AB95">
        <v>49</v>
      </c>
      <c r="AC95">
        <v>51</v>
      </c>
      <c r="AD95">
        <v>49</v>
      </c>
      <c r="AE95">
        <v>47</v>
      </c>
      <c r="AI95">
        <v>48</v>
      </c>
      <c r="AJ95">
        <v>50</v>
      </c>
      <c r="AK95">
        <v>53</v>
      </c>
      <c r="AL95">
        <v>54</v>
      </c>
      <c r="AM95">
        <v>51</v>
      </c>
      <c r="AN95">
        <v>44</v>
      </c>
      <c r="AO95">
        <v>60</v>
      </c>
      <c r="AP95">
        <v>58</v>
      </c>
      <c r="AQ95">
        <v>58</v>
      </c>
      <c r="AR95">
        <v>57</v>
      </c>
      <c r="AS95">
        <v>56</v>
      </c>
      <c r="AT95">
        <v>53</v>
      </c>
      <c r="AX95">
        <v>47</v>
      </c>
      <c r="AY95">
        <v>46</v>
      </c>
      <c r="AZ95">
        <v>49</v>
      </c>
      <c r="BA95">
        <v>48</v>
      </c>
      <c r="BB95">
        <v>49</v>
      </c>
      <c r="BC95">
        <v>39</v>
      </c>
      <c r="BD95">
        <v>56</v>
      </c>
      <c r="BE95">
        <v>52</v>
      </c>
      <c r="BF95">
        <v>52</v>
      </c>
      <c r="BG95">
        <v>49</v>
      </c>
      <c r="BH95">
        <v>46</v>
      </c>
      <c r="BI95">
        <v>41</v>
      </c>
    </row>
    <row r="96" spans="1:66" x14ac:dyDescent="0.25">
      <c r="A96" s="4"/>
      <c r="B96" s="3" t="s">
        <v>100</v>
      </c>
      <c r="C96" s="21" t="s">
        <v>164</v>
      </c>
      <c r="D96">
        <v>50</v>
      </c>
      <c r="E96">
        <v>52</v>
      </c>
      <c r="F96">
        <v>55</v>
      </c>
      <c r="G96">
        <v>55</v>
      </c>
      <c r="H96">
        <v>53</v>
      </c>
      <c r="I96">
        <v>47</v>
      </c>
      <c r="J96">
        <v>58</v>
      </c>
      <c r="K96">
        <v>62</v>
      </c>
      <c r="L96">
        <v>63</v>
      </c>
      <c r="M96">
        <v>62</v>
      </c>
      <c r="N96">
        <v>63</v>
      </c>
      <c r="O96">
        <v>61</v>
      </c>
      <c r="P96" s="5">
        <f t="shared" si="27"/>
        <v>2.1213203435596424</v>
      </c>
      <c r="Q96">
        <f t="shared" si="29"/>
        <v>53</v>
      </c>
      <c r="R96" s="2">
        <f t="shared" si="30"/>
        <v>63</v>
      </c>
      <c r="S96" s="27">
        <f t="shared" si="28"/>
        <v>18.867924528301888</v>
      </c>
      <c r="T96">
        <v>57</v>
      </c>
      <c r="U96">
        <v>52</v>
      </c>
      <c r="V96">
        <v>52</v>
      </c>
      <c r="W96">
        <v>51</v>
      </c>
      <c r="X96">
        <v>53</v>
      </c>
      <c r="Y96">
        <v>46</v>
      </c>
      <c r="Z96">
        <v>56</v>
      </c>
      <c r="AA96">
        <v>54</v>
      </c>
      <c r="AB96">
        <v>55</v>
      </c>
      <c r="AC96">
        <v>51</v>
      </c>
      <c r="AD96">
        <v>50</v>
      </c>
      <c r="AE96">
        <v>55</v>
      </c>
      <c r="AS96" s="9"/>
      <c r="AT96" s="8" t="s">
        <v>113</v>
      </c>
      <c r="AU96" s="10">
        <v>5</v>
      </c>
      <c r="AV96" s="15" t="s">
        <v>114</v>
      </c>
      <c r="AW96" s="16"/>
      <c r="AX96" s="11"/>
      <c r="AY96" s="12"/>
      <c r="BG96" s="9"/>
      <c r="BH96" s="9"/>
      <c r="BI96" s="8" t="s">
        <v>113</v>
      </c>
      <c r="BJ96" s="10">
        <v>5</v>
      </c>
      <c r="BK96" s="15" t="s">
        <v>114</v>
      </c>
      <c r="BL96" s="16"/>
      <c r="BM96" s="11"/>
      <c r="BN96" s="12"/>
    </row>
    <row r="97" spans="1:66" x14ac:dyDescent="0.25">
      <c r="A97" s="4"/>
      <c r="B97" s="3"/>
      <c r="C97" s="21"/>
      <c r="P97" s="31" t="s">
        <v>110</v>
      </c>
      <c r="Q97" s="30">
        <f>AVERAGE(Q87:Q96)</f>
        <v>50.1</v>
      </c>
      <c r="R97" s="30">
        <f>AVERAGE(R88:R96)</f>
        <v>54.777777777777779</v>
      </c>
      <c r="S97" s="29">
        <f>AVERAGE(S87:S96)</f>
        <v>10.480950413257473</v>
      </c>
      <c r="AS97" s="9"/>
      <c r="AT97" s="8"/>
      <c r="AU97" s="10"/>
      <c r="AV97" s="44"/>
      <c r="AW97" s="45"/>
      <c r="AY97" s="46"/>
      <c r="BG97" s="9"/>
      <c r="BH97" s="9"/>
      <c r="BI97" s="8"/>
      <c r="BJ97" s="10"/>
      <c r="BK97" s="44"/>
      <c r="BL97" s="45"/>
      <c r="BN97" s="46"/>
    </row>
    <row r="98" spans="1:66" x14ac:dyDescent="0.25">
      <c r="A98" s="4"/>
      <c r="B98" s="3"/>
      <c r="C98" s="21"/>
      <c r="P98" s="31" t="s">
        <v>111</v>
      </c>
      <c r="Q98" s="29">
        <f>STDEVA(Q87:Q96)</f>
        <v>4.0947120370871835</v>
      </c>
      <c r="R98" s="29">
        <f>STDEVA(R88:R96)</f>
        <v>7.0138751375002641</v>
      </c>
      <c r="S98" s="29">
        <f>STDEVA(S87:S96)</f>
        <v>13.907358327795393</v>
      </c>
      <c r="AS98" s="9"/>
      <c r="AT98" s="8"/>
      <c r="AU98" s="10"/>
      <c r="AV98" s="44"/>
      <c r="AW98" s="45"/>
      <c r="AY98" s="46"/>
      <c r="BG98" s="9"/>
      <c r="BH98" s="9"/>
      <c r="BI98" s="8"/>
      <c r="BJ98" s="10"/>
      <c r="BK98" s="44"/>
      <c r="BL98" s="45"/>
      <c r="BN98" s="46"/>
    </row>
    <row r="99" spans="1:66" ht="16.5" thickBot="1" x14ac:dyDescent="0.3">
      <c r="A99" s="4"/>
      <c r="B99" s="3"/>
      <c r="C99" s="21"/>
      <c r="P99" s="31" t="s">
        <v>112</v>
      </c>
      <c r="Q99" s="32">
        <f>Q98/Q97</f>
        <v>8.1730779183376914E-2</v>
      </c>
      <c r="R99" s="32">
        <f>R98/R97</f>
        <v>0.12804234530933545</v>
      </c>
      <c r="S99" s="32">
        <f>S98/S97</f>
        <v>1.3269176724854854</v>
      </c>
      <c r="AS99" s="9"/>
      <c r="AT99" s="8"/>
      <c r="AU99" s="10"/>
      <c r="AV99" s="44"/>
      <c r="AW99" s="45"/>
      <c r="AY99" s="46"/>
      <c r="BG99" s="9"/>
      <c r="BH99" s="9"/>
      <c r="BI99" s="8"/>
      <c r="BJ99" s="10"/>
      <c r="BK99" s="44"/>
      <c r="BL99" s="45"/>
      <c r="BN99" s="46"/>
    </row>
    <row r="100" spans="1:66" ht="16.5" thickBot="1" x14ac:dyDescent="0.3">
      <c r="A100" s="4"/>
      <c r="B100" s="3"/>
      <c r="P100" s="9"/>
      <c r="Q100" s="8" t="s">
        <v>113</v>
      </c>
      <c r="R100" s="8"/>
      <c r="S100" s="10">
        <v>5</v>
      </c>
      <c r="T100" s="15" t="s">
        <v>114</v>
      </c>
      <c r="U100" s="16"/>
      <c r="V100" s="16"/>
      <c r="W100" s="17"/>
      <c r="AC100" s="9"/>
      <c r="AD100" s="9"/>
      <c r="AE100" s="8" t="s">
        <v>113</v>
      </c>
      <c r="AF100" s="10">
        <v>5</v>
      </c>
      <c r="AG100" s="15" t="s">
        <v>114</v>
      </c>
      <c r="AH100" s="16"/>
      <c r="AI100" s="11"/>
      <c r="AJ100" s="12"/>
      <c r="AS100" s="9"/>
      <c r="AT100" s="8" t="s">
        <v>115</v>
      </c>
      <c r="AU100" s="10">
        <v>10</v>
      </c>
      <c r="AV100" s="18" t="s">
        <v>114</v>
      </c>
      <c r="AW100" s="13"/>
      <c r="AX100" s="13"/>
      <c r="AY100" s="14"/>
      <c r="BG100" s="9"/>
      <c r="BH100" s="9"/>
      <c r="BI100" s="8" t="s">
        <v>115</v>
      </c>
      <c r="BJ100" s="10">
        <v>10</v>
      </c>
      <c r="BK100" s="18" t="s">
        <v>114</v>
      </c>
      <c r="BL100" s="13"/>
      <c r="BM100" s="13"/>
      <c r="BN100" s="14"/>
    </row>
    <row r="101" spans="1:66" ht="16.5" thickBot="1" x14ac:dyDescent="0.3">
      <c r="A101" s="4"/>
      <c r="B101" s="3"/>
      <c r="P101" s="9"/>
      <c r="Q101" s="8" t="s">
        <v>115</v>
      </c>
      <c r="R101" s="8"/>
      <c r="S101" s="10">
        <v>13</v>
      </c>
      <c r="T101" s="18" t="s">
        <v>114</v>
      </c>
      <c r="U101" s="13"/>
      <c r="V101" s="13"/>
      <c r="W101" s="14"/>
      <c r="AC101" s="9"/>
      <c r="AD101" s="9"/>
      <c r="AE101" s="8" t="s">
        <v>115</v>
      </c>
      <c r="AF101" s="10">
        <v>10</v>
      </c>
      <c r="AG101" s="18" t="s">
        <v>114</v>
      </c>
      <c r="AH101" s="13"/>
      <c r="AI101" s="13"/>
      <c r="AJ101" s="14"/>
      <c r="AT101" s="2" t="s">
        <v>116</v>
      </c>
      <c r="AU101" s="5" t="e">
        <f>SQRT(AVERAGE(AU84:AU95))</f>
        <v>#DIV/0!</v>
      </c>
      <c r="BI101" s="2" t="s">
        <v>116</v>
      </c>
      <c r="BJ101" s="5" t="e">
        <f>SQRT(AVERAGE(BJ84:BJ95))</f>
        <v>#DIV/0!</v>
      </c>
    </row>
    <row r="102" spans="1:66" x14ac:dyDescent="0.25">
      <c r="A102" s="4"/>
      <c r="B102" s="3"/>
      <c r="Q102" s="2" t="s">
        <v>116</v>
      </c>
      <c r="R102" s="2"/>
      <c r="S102" s="5">
        <f>SQRT(AVERAGE(P84:P95))</f>
        <v>1.6922794057086812</v>
      </c>
      <c r="AE102" s="2" t="s">
        <v>116</v>
      </c>
      <c r="AF102" s="5" t="e">
        <f>SQRT(AVERAGE(AF84:AF95))</f>
        <v>#DIV/0!</v>
      </c>
      <c r="AT102" s="2" t="s">
        <v>117</v>
      </c>
      <c r="AU102" s="5" t="e">
        <f>2.77*AU101</f>
        <v>#DIV/0!</v>
      </c>
      <c r="BI102" s="2" t="s">
        <v>117</v>
      </c>
      <c r="BJ102" s="5" t="e">
        <f>2.77*BJ101</f>
        <v>#DIV/0!</v>
      </c>
    </row>
    <row r="103" spans="1:66" x14ac:dyDescent="0.25">
      <c r="A103" s="4"/>
      <c r="B103" s="3"/>
      <c r="Q103" s="2" t="s">
        <v>117</v>
      </c>
      <c r="R103" s="2"/>
      <c r="S103" s="5">
        <f>2.77*S102</f>
        <v>4.687613953813047</v>
      </c>
      <c r="AE103" s="2" t="s">
        <v>117</v>
      </c>
      <c r="AF103" s="5" t="e">
        <f>2.77*AF102</f>
        <v>#DIV/0!</v>
      </c>
      <c r="AT103" s="2" t="s">
        <v>118</v>
      </c>
      <c r="AU103" s="5" t="e">
        <f>AU102-(1.96*(AU101/(SQRT(2*AU100*(AU96-1)))))</f>
        <v>#DIV/0!</v>
      </c>
      <c r="BI103" s="2" t="s">
        <v>118</v>
      </c>
      <c r="BJ103" s="5" t="e">
        <f>BJ102-(1.96*(BJ101/(SQRT(2*BJ100*(BJ96-1)))))</f>
        <v>#DIV/0!</v>
      </c>
    </row>
    <row r="104" spans="1:66" x14ac:dyDescent="0.25">
      <c r="A104" s="4"/>
      <c r="B104" s="3"/>
      <c r="Q104" s="2" t="s">
        <v>118</v>
      </c>
      <c r="R104" s="2"/>
      <c r="S104" s="5">
        <f>S103-(1.96*(S102/(SQRT(2*S101*(S100-1)))))</f>
        <v>4.3623683231239481</v>
      </c>
      <c r="AE104" s="2" t="s">
        <v>118</v>
      </c>
      <c r="AF104" s="5" t="e">
        <f>AF103-(1.96*(AF102/(SQRT(2*AF101*(AF100-1)))))</f>
        <v>#DIV/0!</v>
      </c>
      <c r="AT104" s="2" t="s">
        <v>119</v>
      </c>
      <c r="AU104" s="5" t="e">
        <f>AU102+(1.96*(AU101/(SQRT(2*AU100*(AU96-1)))))</f>
        <v>#DIV/0!</v>
      </c>
      <c r="BI104" s="2" t="s">
        <v>119</v>
      </c>
      <c r="BJ104" s="5" t="e">
        <f>BJ102+(1.96*(BJ101/(SQRT(2*BJ100*(BJ96-1)))))</f>
        <v>#DIV/0!</v>
      </c>
    </row>
    <row r="105" spans="1:66" x14ac:dyDescent="0.25">
      <c r="A105" s="4"/>
      <c r="B105" s="3"/>
      <c r="Q105" s="2"/>
      <c r="R105" s="2" t="s">
        <v>119</v>
      </c>
      <c r="S105" s="5">
        <f>S103+(1.96*(S102/(SQRT(2*S101*(S100-1)))))</f>
        <v>5.012859584502146</v>
      </c>
      <c r="AE105" s="2" t="s">
        <v>119</v>
      </c>
      <c r="AF105" s="5" t="e">
        <f>AF103+(1.96*(AF102/(SQRT(2*AF101*(AF100-1)))))</f>
        <v>#DIV/0!</v>
      </c>
      <c r="AT105" s="2" t="s">
        <v>119</v>
      </c>
      <c r="AU105" s="5" t="e">
        <f>AU103+(1.96*(AU102/(SQRT(2*AU101*(AU100-1)))))</f>
        <v>#DIV/0!</v>
      </c>
      <c r="BI105" s="2" t="s">
        <v>119</v>
      </c>
      <c r="BJ105" s="5" t="e">
        <f>BJ103+(1.96*(BJ102/(SQRT(2*BJ101*(BJ100-1)))))</f>
        <v>#DIV/0!</v>
      </c>
    </row>
    <row r="106" spans="1:66" s="58" customFormat="1" x14ac:dyDescent="0.25">
      <c r="A106" s="56"/>
      <c r="B106" s="57"/>
      <c r="Q106" s="59"/>
      <c r="R106" s="59"/>
      <c r="S106" s="60"/>
      <c r="AE106" s="59"/>
      <c r="AF106" s="60"/>
      <c r="AT106" s="59"/>
      <c r="AU106" s="60"/>
      <c r="BI106" s="59"/>
      <c r="BJ106" s="60"/>
    </row>
    <row r="107" spans="1:66" x14ac:dyDescent="0.25">
      <c r="A107" s="67" t="s">
        <v>165</v>
      </c>
    </row>
    <row r="108" spans="1:66" x14ac:dyDescent="0.25">
      <c r="A108" s="67"/>
    </row>
    <row r="109" spans="1:66" x14ac:dyDescent="0.25">
      <c r="A109" s="67"/>
      <c r="B109" s="3" t="s">
        <v>166</v>
      </c>
      <c r="C109" t="s">
        <v>167</v>
      </c>
      <c r="D109">
        <v>42</v>
      </c>
      <c r="E109">
        <v>41</v>
      </c>
      <c r="F109">
        <v>41</v>
      </c>
      <c r="G109">
        <v>41</v>
      </c>
      <c r="H109">
        <v>41</v>
      </c>
      <c r="I109">
        <v>42</v>
      </c>
      <c r="J109">
        <v>43</v>
      </c>
      <c r="K109">
        <v>42</v>
      </c>
      <c r="L109">
        <v>43</v>
      </c>
      <c r="M109">
        <v>47</v>
      </c>
      <c r="N109">
        <v>44</v>
      </c>
      <c r="O109">
        <v>42</v>
      </c>
      <c r="P109" s="5">
        <f t="shared" ref="P109:P114" si="31">IFERROR(STDEVA(D109:H109),#N/A)</f>
        <v>0.44721359549995793</v>
      </c>
      <c r="Q109">
        <f t="shared" ref="Q109:Q113" si="32">MEDIAN(D109:H109)</f>
        <v>41</v>
      </c>
      <c r="R109" s="2">
        <f t="shared" ref="R109:R113" si="33">MAX(J109:O109)</f>
        <v>47</v>
      </c>
      <c r="S109" s="27">
        <f t="shared" ref="S109:S114" si="34">100*(R109-Q109)/Q109</f>
        <v>14.634146341463415</v>
      </c>
      <c r="T109">
        <v>47</v>
      </c>
      <c r="U109">
        <v>50</v>
      </c>
      <c r="V109">
        <v>50</v>
      </c>
      <c r="W109">
        <v>48</v>
      </c>
      <c r="X109">
        <v>46</v>
      </c>
      <c r="Y109">
        <v>40</v>
      </c>
      <c r="Z109">
        <v>51</v>
      </c>
      <c r="AA109">
        <v>54</v>
      </c>
      <c r="AB109">
        <v>53</v>
      </c>
      <c r="AC109">
        <v>48</v>
      </c>
      <c r="AD109">
        <v>46</v>
      </c>
      <c r="AE109">
        <v>48</v>
      </c>
      <c r="AI109">
        <v>40</v>
      </c>
      <c r="AJ109">
        <v>41</v>
      </c>
      <c r="AK109">
        <v>51</v>
      </c>
      <c r="AL109">
        <v>53</v>
      </c>
      <c r="AM109">
        <v>44</v>
      </c>
      <c r="AN109">
        <v>39</v>
      </c>
      <c r="AO109">
        <v>38</v>
      </c>
      <c r="AP109">
        <v>42</v>
      </c>
      <c r="AQ109">
        <v>41</v>
      </c>
      <c r="AR109">
        <v>46</v>
      </c>
      <c r="AS109">
        <v>46</v>
      </c>
      <c r="AT109">
        <v>47</v>
      </c>
      <c r="AX109">
        <v>40</v>
      </c>
      <c r="AY109">
        <v>39</v>
      </c>
      <c r="AZ109">
        <v>39</v>
      </c>
      <c r="BA109">
        <v>40</v>
      </c>
      <c r="BB109">
        <v>39</v>
      </c>
      <c r="BC109">
        <v>39</v>
      </c>
      <c r="BD109">
        <v>39</v>
      </c>
      <c r="BE109">
        <v>41</v>
      </c>
      <c r="BF109">
        <v>39</v>
      </c>
      <c r="BG109">
        <v>40</v>
      </c>
      <c r="BH109">
        <v>38</v>
      </c>
      <c r="BI109">
        <v>37</v>
      </c>
    </row>
    <row r="110" spans="1:66" x14ac:dyDescent="0.25">
      <c r="A110" s="67"/>
      <c r="B110" s="3" t="s">
        <v>166</v>
      </c>
      <c r="C110" t="s">
        <v>168</v>
      </c>
      <c r="E110">
        <v>44</v>
      </c>
      <c r="F110">
        <v>46</v>
      </c>
      <c r="G110">
        <v>48</v>
      </c>
      <c r="H110">
        <v>48</v>
      </c>
      <c r="I110">
        <v>41</v>
      </c>
      <c r="J110">
        <v>49</v>
      </c>
      <c r="K110">
        <v>43</v>
      </c>
      <c r="L110">
        <v>44</v>
      </c>
      <c r="M110">
        <v>38</v>
      </c>
      <c r="N110">
        <v>39</v>
      </c>
      <c r="O110">
        <v>48</v>
      </c>
      <c r="P110" s="5">
        <f t="shared" si="31"/>
        <v>1.9148542155126762</v>
      </c>
      <c r="Q110">
        <f t="shared" si="32"/>
        <v>47</v>
      </c>
      <c r="R110" s="2">
        <f t="shared" si="33"/>
        <v>49</v>
      </c>
      <c r="S110" s="27">
        <f t="shared" si="34"/>
        <v>4.2553191489361701</v>
      </c>
      <c r="T110">
        <v>43</v>
      </c>
      <c r="U110">
        <v>45</v>
      </c>
      <c r="V110">
        <v>50</v>
      </c>
      <c r="W110">
        <v>50</v>
      </c>
      <c r="X110">
        <v>49</v>
      </c>
      <c r="Y110">
        <v>37</v>
      </c>
      <c r="Z110">
        <v>41</v>
      </c>
      <c r="AA110">
        <v>54</v>
      </c>
      <c r="AB110">
        <v>52</v>
      </c>
      <c r="AC110">
        <v>49</v>
      </c>
      <c r="AD110">
        <v>47</v>
      </c>
      <c r="AE110">
        <v>44</v>
      </c>
      <c r="AI110">
        <v>41</v>
      </c>
      <c r="AJ110">
        <v>45</v>
      </c>
      <c r="AK110">
        <v>46</v>
      </c>
      <c r="AL110">
        <v>52</v>
      </c>
      <c r="AM110">
        <v>47</v>
      </c>
      <c r="AN110">
        <v>39</v>
      </c>
      <c r="AO110">
        <v>51</v>
      </c>
      <c r="AP110">
        <v>56</v>
      </c>
      <c r="AQ110">
        <v>50</v>
      </c>
      <c r="AR110">
        <v>51</v>
      </c>
      <c r="AS110">
        <v>52</v>
      </c>
      <c r="AT110">
        <v>50</v>
      </c>
      <c r="AX110">
        <v>53</v>
      </c>
      <c r="AY110">
        <v>54</v>
      </c>
      <c r="AZ110">
        <v>53</v>
      </c>
      <c r="BA110">
        <v>52</v>
      </c>
      <c r="BB110">
        <v>50</v>
      </c>
      <c r="BC110">
        <v>40</v>
      </c>
      <c r="BD110">
        <v>58</v>
      </c>
      <c r="BE110">
        <v>58</v>
      </c>
      <c r="BF110">
        <v>55</v>
      </c>
      <c r="BG110">
        <v>54</v>
      </c>
      <c r="BH110">
        <v>55</v>
      </c>
      <c r="BI110">
        <v>55</v>
      </c>
    </row>
    <row r="111" spans="1:66" x14ac:dyDescent="0.25">
      <c r="A111" s="67"/>
      <c r="B111" s="3" t="s">
        <v>166</v>
      </c>
      <c r="C111" t="s">
        <v>169</v>
      </c>
      <c r="D111">
        <v>46</v>
      </c>
      <c r="E111">
        <v>49</v>
      </c>
      <c r="F111">
        <v>49</v>
      </c>
      <c r="G111">
        <v>51</v>
      </c>
      <c r="H111">
        <v>49</v>
      </c>
      <c r="I111">
        <v>41</v>
      </c>
      <c r="J111">
        <v>56</v>
      </c>
      <c r="K111">
        <v>55</v>
      </c>
      <c r="L111">
        <v>53</v>
      </c>
      <c r="M111">
        <v>52</v>
      </c>
      <c r="N111">
        <v>48</v>
      </c>
      <c r="O111">
        <v>52</v>
      </c>
      <c r="P111" s="5">
        <f t="shared" si="31"/>
        <v>1.7888543819998317</v>
      </c>
      <c r="Q111">
        <f t="shared" si="32"/>
        <v>49</v>
      </c>
      <c r="R111" s="2">
        <f t="shared" si="33"/>
        <v>56</v>
      </c>
      <c r="S111" s="27">
        <f t="shared" si="34"/>
        <v>14.285714285714286</v>
      </c>
      <c r="T111">
        <v>46</v>
      </c>
      <c r="U111">
        <v>47</v>
      </c>
      <c r="V111">
        <v>53</v>
      </c>
      <c r="W111">
        <v>53</v>
      </c>
      <c r="X111">
        <v>57</v>
      </c>
      <c r="Y111">
        <v>39</v>
      </c>
      <c r="Z111">
        <v>59</v>
      </c>
      <c r="AA111">
        <v>57</v>
      </c>
      <c r="AB111">
        <v>56</v>
      </c>
      <c r="AC111">
        <v>57</v>
      </c>
      <c r="AD111">
        <v>58</v>
      </c>
      <c r="AE111">
        <v>58</v>
      </c>
      <c r="AI111">
        <v>48</v>
      </c>
      <c r="AJ111">
        <v>55</v>
      </c>
      <c r="AK111">
        <v>52</v>
      </c>
      <c r="AL111">
        <v>54</v>
      </c>
      <c r="AM111">
        <v>50</v>
      </c>
      <c r="AN111">
        <v>45</v>
      </c>
      <c r="AO111">
        <v>54</v>
      </c>
      <c r="AP111">
        <v>57</v>
      </c>
      <c r="AQ111">
        <v>54</v>
      </c>
      <c r="AR111">
        <v>52</v>
      </c>
      <c r="AS111">
        <v>51</v>
      </c>
      <c r="AT111">
        <v>52</v>
      </c>
      <c r="AX111">
        <v>41</v>
      </c>
      <c r="AY111">
        <v>43</v>
      </c>
      <c r="AZ111">
        <v>44</v>
      </c>
      <c r="BA111">
        <v>42</v>
      </c>
      <c r="BB111">
        <v>44</v>
      </c>
      <c r="BC111">
        <v>40</v>
      </c>
      <c r="BD111">
        <v>51</v>
      </c>
      <c r="BE111">
        <v>48</v>
      </c>
      <c r="BF111">
        <v>47</v>
      </c>
      <c r="BG111">
        <v>44</v>
      </c>
      <c r="BH111">
        <v>43</v>
      </c>
      <c r="BI111">
        <v>41</v>
      </c>
    </row>
    <row r="112" spans="1:66" x14ac:dyDescent="0.25">
      <c r="A112" s="67"/>
      <c r="B112" s="3" t="s">
        <v>166</v>
      </c>
      <c r="C112" t="s">
        <v>170</v>
      </c>
      <c r="D112">
        <v>48</v>
      </c>
      <c r="E112">
        <v>49</v>
      </c>
      <c r="F112">
        <v>46</v>
      </c>
      <c r="G112">
        <v>45</v>
      </c>
      <c r="H112">
        <v>44</v>
      </c>
      <c r="I112">
        <v>41</v>
      </c>
      <c r="J112">
        <v>46</v>
      </c>
      <c r="K112">
        <v>46</v>
      </c>
      <c r="L112">
        <v>45</v>
      </c>
      <c r="M112">
        <v>46</v>
      </c>
      <c r="N112">
        <v>45</v>
      </c>
      <c r="O112">
        <v>44</v>
      </c>
      <c r="P112" s="5">
        <f t="shared" si="31"/>
        <v>2.0736441353327719</v>
      </c>
      <c r="Q112">
        <f t="shared" si="32"/>
        <v>46</v>
      </c>
      <c r="R112" s="2">
        <f t="shared" si="33"/>
        <v>46</v>
      </c>
      <c r="S112" s="27">
        <f t="shared" si="34"/>
        <v>0</v>
      </c>
      <c r="T112">
        <v>46</v>
      </c>
      <c r="U112">
        <v>46</v>
      </c>
      <c r="V112">
        <v>47</v>
      </c>
      <c r="W112">
        <v>50</v>
      </c>
      <c r="X112">
        <v>46</v>
      </c>
      <c r="Y112">
        <v>44</v>
      </c>
      <c r="Z112">
        <v>50</v>
      </c>
      <c r="AA112">
        <v>47</v>
      </c>
      <c r="AB112">
        <v>51</v>
      </c>
      <c r="AC112">
        <v>50</v>
      </c>
      <c r="AD112">
        <v>49</v>
      </c>
      <c r="AE112">
        <v>49</v>
      </c>
      <c r="AI112">
        <v>51</v>
      </c>
      <c r="AJ112">
        <v>52</v>
      </c>
      <c r="AK112">
        <v>49</v>
      </c>
      <c r="AL112">
        <v>51</v>
      </c>
      <c r="AM112">
        <v>50</v>
      </c>
      <c r="AN112">
        <v>40</v>
      </c>
      <c r="AO112">
        <v>50</v>
      </c>
      <c r="AP112">
        <v>47</v>
      </c>
      <c r="AQ112">
        <v>47</v>
      </c>
      <c r="AR112">
        <v>46</v>
      </c>
      <c r="AS112">
        <v>47</v>
      </c>
      <c r="AT112">
        <v>44</v>
      </c>
      <c r="AX112">
        <v>51</v>
      </c>
      <c r="AY112">
        <v>45</v>
      </c>
      <c r="AZ112">
        <v>46</v>
      </c>
      <c r="BA112">
        <v>46</v>
      </c>
      <c r="BB112">
        <v>44</v>
      </c>
      <c r="BC112">
        <v>41</v>
      </c>
      <c r="BD112">
        <v>54</v>
      </c>
      <c r="BE112">
        <v>54</v>
      </c>
      <c r="BF112">
        <v>54</v>
      </c>
      <c r="BG112">
        <v>45</v>
      </c>
      <c r="BH112">
        <v>45</v>
      </c>
      <c r="BI112">
        <v>45</v>
      </c>
    </row>
    <row r="113" spans="1:66" x14ac:dyDescent="0.25">
      <c r="A113" s="67"/>
      <c r="B113" s="3" t="s">
        <v>166</v>
      </c>
      <c r="C113" t="s">
        <v>171</v>
      </c>
      <c r="D113">
        <v>44</v>
      </c>
      <c r="E113">
        <v>49</v>
      </c>
      <c r="F113">
        <v>48</v>
      </c>
      <c r="G113">
        <v>50</v>
      </c>
      <c r="H113">
        <v>46</v>
      </c>
      <c r="I113">
        <v>41</v>
      </c>
      <c r="J113">
        <v>57</v>
      </c>
      <c r="K113">
        <v>50</v>
      </c>
      <c r="L113">
        <v>47</v>
      </c>
      <c r="M113">
        <v>48</v>
      </c>
      <c r="N113">
        <v>44</v>
      </c>
      <c r="O113">
        <v>44</v>
      </c>
      <c r="P113" s="5">
        <f t="shared" si="31"/>
        <v>2.4083189157584592</v>
      </c>
      <c r="Q113">
        <f t="shared" si="32"/>
        <v>48</v>
      </c>
      <c r="R113" s="2">
        <f t="shared" si="33"/>
        <v>57</v>
      </c>
      <c r="S113" s="27">
        <f t="shared" si="34"/>
        <v>18.75</v>
      </c>
      <c r="T113">
        <v>42</v>
      </c>
      <c r="U113">
        <v>43</v>
      </c>
      <c r="V113">
        <v>42</v>
      </c>
      <c r="W113">
        <v>42</v>
      </c>
      <c r="X113">
        <v>43</v>
      </c>
      <c r="Y113">
        <v>40</v>
      </c>
      <c r="Z113">
        <v>53</v>
      </c>
      <c r="AA113">
        <v>51</v>
      </c>
      <c r="AB113">
        <v>46</v>
      </c>
      <c r="AC113">
        <v>45</v>
      </c>
      <c r="AD113">
        <v>44</v>
      </c>
      <c r="AE113">
        <v>43</v>
      </c>
      <c r="AI113">
        <v>41</v>
      </c>
      <c r="AJ113">
        <v>41</v>
      </c>
      <c r="AK113">
        <v>43</v>
      </c>
      <c r="AL113">
        <v>40</v>
      </c>
      <c r="AM113">
        <v>41</v>
      </c>
      <c r="AN113">
        <v>38</v>
      </c>
      <c r="AO113">
        <v>54</v>
      </c>
      <c r="AP113">
        <v>52</v>
      </c>
      <c r="AQ113">
        <v>46</v>
      </c>
      <c r="AR113">
        <v>46</v>
      </c>
      <c r="AS113">
        <v>44</v>
      </c>
      <c r="AT113">
        <v>45</v>
      </c>
      <c r="AX113">
        <v>43</v>
      </c>
      <c r="AY113">
        <v>42</v>
      </c>
      <c r="AZ113">
        <v>42</v>
      </c>
      <c r="BA113">
        <v>42</v>
      </c>
      <c r="BB113">
        <v>42</v>
      </c>
      <c r="BC113">
        <v>32</v>
      </c>
      <c r="BD113">
        <v>51</v>
      </c>
      <c r="BE113">
        <v>47</v>
      </c>
      <c r="BF113">
        <v>46</v>
      </c>
      <c r="BG113">
        <v>46</v>
      </c>
      <c r="BH113">
        <v>44</v>
      </c>
      <c r="BI113">
        <v>44</v>
      </c>
    </row>
    <row r="114" spans="1:66" x14ac:dyDescent="0.25">
      <c r="A114" s="67"/>
      <c r="B114" s="3" t="s">
        <v>166</v>
      </c>
      <c r="C114" t="s">
        <v>172</v>
      </c>
      <c r="D114">
        <v>40</v>
      </c>
      <c r="E114">
        <v>39</v>
      </c>
      <c r="F114">
        <v>39</v>
      </c>
      <c r="G114">
        <v>40</v>
      </c>
      <c r="H114">
        <v>42</v>
      </c>
      <c r="I114">
        <v>39</v>
      </c>
      <c r="J114">
        <v>50</v>
      </c>
      <c r="K114">
        <v>47</v>
      </c>
      <c r="L114">
        <v>46</v>
      </c>
      <c r="M114">
        <v>47</v>
      </c>
      <c r="N114">
        <v>44</v>
      </c>
      <c r="O114">
        <v>44</v>
      </c>
      <c r="P114" s="5">
        <f t="shared" si="31"/>
        <v>1.2247448713915889</v>
      </c>
      <c r="Q114">
        <f>MEDIAN(D114:H114)</f>
        <v>40</v>
      </c>
      <c r="R114" s="2">
        <f>MAX(J114:O114)</f>
        <v>50</v>
      </c>
      <c r="S114" s="27">
        <f t="shared" si="34"/>
        <v>25</v>
      </c>
      <c r="T114">
        <v>40</v>
      </c>
      <c r="U114">
        <v>41</v>
      </c>
      <c r="V114">
        <v>40</v>
      </c>
      <c r="W114">
        <v>41</v>
      </c>
      <c r="X114">
        <v>39</v>
      </c>
      <c r="Y114">
        <v>43</v>
      </c>
      <c r="Z114">
        <v>47</v>
      </c>
      <c r="AA114">
        <v>48</v>
      </c>
      <c r="AB114">
        <v>47</v>
      </c>
      <c r="AC114">
        <v>46</v>
      </c>
      <c r="AD114">
        <v>43</v>
      </c>
      <c r="AE114">
        <v>42</v>
      </c>
      <c r="AI114">
        <v>40</v>
      </c>
      <c r="AJ114">
        <v>39</v>
      </c>
      <c r="AK114">
        <v>42</v>
      </c>
      <c r="AL114">
        <v>45</v>
      </c>
      <c r="AM114">
        <v>43</v>
      </c>
      <c r="AN114">
        <v>41</v>
      </c>
      <c r="AO114">
        <v>48</v>
      </c>
      <c r="AP114">
        <v>49</v>
      </c>
      <c r="AQ114">
        <v>48</v>
      </c>
      <c r="AR114">
        <v>47</v>
      </c>
      <c r="AS114">
        <v>49</v>
      </c>
      <c r="AT114">
        <v>49</v>
      </c>
      <c r="AX114">
        <v>44</v>
      </c>
      <c r="AY114">
        <v>46</v>
      </c>
      <c r="AZ114">
        <v>46</v>
      </c>
      <c r="BA114">
        <v>49</v>
      </c>
      <c r="BB114">
        <v>47</v>
      </c>
      <c r="BC114">
        <v>41</v>
      </c>
      <c r="BD114">
        <v>50</v>
      </c>
      <c r="BE114">
        <v>49</v>
      </c>
      <c r="BF114">
        <v>48</v>
      </c>
      <c r="BG114">
        <v>48</v>
      </c>
      <c r="BH114">
        <v>43</v>
      </c>
      <c r="BI114">
        <v>44</v>
      </c>
    </row>
    <row r="115" spans="1:66" x14ac:dyDescent="0.25">
      <c r="A115" s="67"/>
      <c r="B115" s="3" t="s">
        <v>166</v>
      </c>
      <c r="C115" t="s">
        <v>173</v>
      </c>
      <c r="D115">
        <v>46</v>
      </c>
      <c r="E115">
        <v>53</v>
      </c>
      <c r="F115">
        <v>53</v>
      </c>
      <c r="G115">
        <v>49</v>
      </c>
      <c r="H115">
        <v>52</v>
      </c>
      <c r="I115">
        <v>41</v>
      </c>
      <c r="J115">
        <v>55</v>
      </c>
      <c r="K115">
        <v>55</v>
      </c>
      <c r="L115">
        <v>50</v>
      </c>
      <c r="M115">
        <v>45</v>
      </c>
      <c r="N115">
        <v>46</v>
      </c>
      <c r="O115">
        <v>48</v>
      </c>
      <c r="P115" s="5">
        <f t="shared" ref="P115" si="35">IFERROR(STDEVA(D115:H115),#N/A)</f>
        <v>3.049590136395381</v>
      </c>
      <c r="Q115">
        <f>MEDIAN(D115:H115)</f>
        <v>52</v>
      </c>
      <c r="R115" s="2">
        <f>MAX(J115:O115)</f>
        <v>55</v>
      </c>
      <c r="S115" s="27">
        <f t="shared" ref="S115" si="36">100*(R115-Q115)/Q115</f>
        <v>5.7692307692307692</v>
      </c>
    </row>
    <row r="116" spans="1:66" x14ac:dyDescent="0.25">
      <c r="A116" s="67"/>
      <c r="B116" s="3"/>
      <c r="P116" s="31" t="s">
        <v>110</v>
      </c>
      <c r="Q116" s="30">
        <f>AVERAGE(Q109:Q115)</f>
        <v>46.142857142857146</v>
      </c>
      <c r="R116" s="30">
        <f>AVERAGE(R110:R115)</f>
        <v>52.166666666666664</v>
      </c>
      <c r="S116" s="29">
        <f>AVERAGE(S109:S115)</f>
        <v>11.813487220763522</v>
      </c>
    </row>
    <row r="117" spans="1:66" x14ac:dyDescent="0.25">
      <c r="A117" s="67"/>
      <c r="B117" s="3"/>
      <c r="P117" s="31" t="s">
        <v>111</v>
      </c>
      <c r="Q117" s="29">
        <f>STDEVA(Q109:Q115)</f>
        <v>4.2983939414844796</v>
      </c>
      <c r="R117" s="29">
        <f>STDEVA(R110:R115)</f>
        <v>4.4459719597256422</v>
      </c>
      <c r="S117" s="29">
        <f>STDEVA(S109:S115)</f>
        <v>8.8438752282617301</v>
      </c>
    </row>
    <row r="118" spans="1:66" ht="16.5" thickBot="1" x14ac:dyDescent="0.3">
      <c r="A118" s="67"/>
      <c r="B118" s="3"/>
      <c r="P118" s="31" t="s">
        <v>112</v>
      </c>
      <c r="Q118" s="32">
        <f>Q117/Q116</f>
        <v>9.3154048267465497E-2</v>
      </c>
      <c r="R118" s="32">
        <f>R117/R116</f>
        <v>8.5226299547456405E-2</v>
      </c>
      <c r="S118" s="32">
        <f>S117/S116</f>
        <v>0.74862528421900965</v>
      </c>
    </row>
    <row r="119" spans="1:66" x14ac:dyDescent="0.25">
      <c r="A119" s="4"/>
      <c r="B119" s="3"/>
      <c r="N119" s="9"/>
      <c r="O119" s="8" t="s">
        <v>113</v>
      </c>
      <c r="P119" s="10">
        <v>5</v>
      </c>
      <c r="Q119" s="15" t="s">
        <v>114</v>
      </c>
      <c r="R119" s="16"/>
      <c r="S119" s="16"/>
      <c r="T119" s="16"/>
      <c r="U119" s="17"/>
      <c r="AC119" s="9"/>
      <c r="AD119" s="9"/>
      <c r="AE119" s="8" t="s">
        <v>113</v>
      </c>
      <c r="AF119" s="10">
        <v>5</v>
      </c>
      <c r="AG119" s="15" t="s">
        <v>114</v>
      </c>
      <c r="AH119" s="16"/>
      <c r="AI119" s="11"/>
      <c r="AJ119" s="12"/>
      <c r="AS119" s="9"/>
      <c r="AT119" s="8" t="s">
        <v>113</v>
      </c>
      <c r="AU119" s="10">
        <v>5</v>
      </c>
      <c r="AV119" s="15" t="s">
        <v>114</v>
      </c>
      <c r="AW119" s="16"/>
      <c r="AX119" s="11"/>
      <c r="AY119" s="12"/>
      <c r="BG119" s="9"/>
      <c r="BH119" s="9"/>
      <c r="BI119" s="8" t="s">
        <v>113</v>
      </c>
      <c r="BJ119" s="10">
        <v>5</v>
      </c>
      <c r="BK119" s="15" t="s">
        <v>114</v>
      </c>
      <c r="BL119" s="16"/>
      <c r="BM119" s="11"/>
      <c r="BN119" s="12"/>
    </row>
    <row r="120" spans="1:66" ht="16.5" thickBot="1" x14ac:dyDescent="0.3">
      <c r="A120" s="4"/>
      <c r="B120" s="3"/>
      <c r="N120" s="9"/>
      <c r="O120" s="8" t="s">
        <v>115</v>
      </c>
      <c r="P120" s="10">
        <v>7</v>
      </c>
      <c r="Q120" s="18" t="s">
        <v>114</v>
      </c>
      <c r="R120" s="54"/>
      <c r="S120" s="13"/>
      <c r="T120" s="13"/>
      <c r="U120" s="14"/>
      <c r="AC120" s="9"/>
      <c r="AD120" s="9"/>
      <c r="AE120" s="8" t="s">
        <v>115</v>
      </c>
      <c r="AF120" s="10">
        <v>10</v>
      </c>
      <c r="AG120" s="18" t="s">
        <v>114</v>
      </c>
      <c r="AH120" s="13"/>
      <c r="AI120" s="13"/>
      <c r="AJ120" s="14"/>
      <c r="AS120" s="9"/>
      <c r="AT120" s="8" t="s">
        <v>115</v>
      </c>
      <c r="AU120" s="10">
        <v>10</v>
      </c>
      <c r="AV120" s="18" t="s">
        <v>114</v>
      </c>
      <c r="AW120" s="13"/>
      <c r="AX120" s="13"/>
      <c r="AY120" s="14"/>
      <c r="BG120" s="9"/>
      <c r="BH120" s="9"/>
      <c r="BI120" s="8" t="s">
        <v>115</v>
      </c>
      <c r="BJ120" s="10">
        <v>10</v>
      </c>
      <c r="BK120" s="18" t="s">
        <v>114</v>
      </c>
      <c r="BL120" s="13"/>
      <c r="BM120" s="13"/>
      <c r="BN120" s="14"/>
    </row>
    <row r="121" spans="1:66" x14ac:dyDescent="0.25">
      <c r="A121" s="4"/>
      <c r="B121" s="3"/>
      <c r="O121" s="2" t="s">
        <v>116</v>
      </c>
      <c r="P121" s="5">
        <f>SQRT(AVERAGE(P107:P118))</f>
        <v>1.3578985998273039</v>
      </c>
      <c r="AE121" s="2" t="s">
        <v>116</v>
      </c>
      <c r="AF121" s="5" t="e">
        <f>SQRT(AVERAGE(AF107:AF118))</f>
        <v>#DIV/0!</v>
      </c>
      <c r="AT121" s="2" t="s">
        <v>116</v>
      </c>
      <c r="AU121" s="5" t="e">
        <f>SQRT(AVERAGE(AU107:AU118))</f>
        <v>#DIV/0!</v>
      </c>
      <c r="BI121" s="2" t="s">
        <v>116</v>
      </c>
      <c r="BJ121" s="5" t="e">
        <f>SQRT(AVERAGE(BJ107:BJ118))</f>
        <v>#DIV/0!</v>
      </c>
    </row>
    <row r="122" spans="1:66" x14ac:dyDescent="0.25">
      <c r="A122" s="4"/>
      <c r="B122" s="3"/>
      <c r="O122" s="2" t="s">
        <v>117</v>
      </c>
      <c r="P122" s="5">
        <f>2.77*P121</f>
        <v>3.7613791215216317</v>
      </c>
      <c r="AE122" s="2" t="s">
        <v>117</v>
      </c>
      <c r="AF122" s="5" t="e">
        <f>2.77*AF121</f>
        <v>#DIV/0!</v>
      </c>
      <c r="AT122" s="2" t="s">
        <v>117</v>
      </c>
      <c r="AU122" s="5" t="e">
        <f>2.77*AU121</f>
        <v>#DIV/0!</v>
      </c>
      <c r="BI122" s="2" t="s">
        <v>117</v>
      </c>
      <c r="BJ122" s="5" t="e">
        <f>2.77*BJ121</f>
        <v>#DIV/0!</v>
      </c>
    </row>
    <row r="123" spans="1:66" x14ac:dyDescent="0.25">
      <c r="A123" s="4"/>
      <c r="B123" s="3"/>
      <c r="O123" s="2" t="s">
        <v>118</v>
      </c>
      <c r="P123" s="5">
        <f>P122-(1.96*(P121/(SQRT(2*P120*(P119-1)))))</f>
        <v>3.4057237286642641</v>
      </c>
      <c r="AE123" s="2" t="s">
        <v>118</v>
      </c>
      <c r="AF123" s="5" t="e">
        <f>AF122-(1.96*(AF121/(SQRT(2*AF120*(AF119-1)))))</f>
        <v>#DIV/0!</v>
      </c>
      <c r="AT123" s="2" t="s">
        <v>118</v>
      </c>
      <c r="AU123" s="5" t="e">
        <f>AU122-(1.96*(AU121/(SQRT(2*AU120*(AU119-1)))))</f>
        <v>#DIV/0!</v>
      </c>
      <c r="BI123" s="2" t="s">
        <v>118</v>
      </c>
      <c r="BJ123" s="5" t="e">
        <f>BJ122-(1.96*(BJ121/(SQRT(2*BJ120*(BJ119-1)))))</f>
        <v>#DIV/0!</v>
      </c>
    </row>
    <row r="124" spans="1:66" x14ac:dyDescent="0.25">
      <c r="A124" s="4"/>
      <c r="B124" s="3"/>
      <c r="O124" s="2" t="s">
        <v>119</v>
      </c>
      <c r="P124" s="5">
        <f>P122+(1.96*(P121/(SQRT(2*P120*(P119-1)))))</f>
        <v>4.1170345143789993</v>
      </c>
      <c r="AE124" s="2" t="s">
        <v>119</v>
      </c>
      <c r="AF124" s="5" t="e">
        <f>AF122+(1.96*(AF121/(SQRT(2*AF120*(AF119-1)))))</f>
        <v>#DIV/0!</v>
      </c>
      <c r="AT124" s="2" t="s">
        <v>119</v>
      </c>
      <c r="AU124" s="5" t="e">
        <f>AU122+(1.96*(AU121/(SQRT(2*AU120*(AU119-1)))))</f>
        <v>#DIV/0!</v>
      </c>
      <c r="BI124" s="2" t="s">
        <v>119</v>
      </c>
      <c r="BJ124" s="5" t="e">
        <f>BJ122+(1.96*(BJ121/(SQRT(2*BJ120*(BJ119-1)))))</f>
        <v>#DIV/0!</v>
      </c>
    </row>
    <row r="125" spans="1:66" s="58" customFormat="1" x14ac:dyDescent="0.25"/>
    <row r="128" spans="1:66" x14ac:dyDescent="0.25">
      <c r="B128" s="3" t="s">
        <v>166</v>
      </c>
      <c r="C128" t="s">
        <v>174</v>
      </c>
      <c r="F128">
        <v>39</v>
      </c>
      <c r="G128">
        <v>40</v>
      </c>
      <c r="H128">
        <v>40</v>
      </c>
      <c r="I128">
        <v>43</v>
      </c>
      <c r="J128">
        <v>56</v>
      </c>
      <c r="K128">
        <v>55</v>
      </c>
      <c r="L128">
        <v>53</v>
      </c>
      <c r="M128">
        <v>48</v>
      </c>
      <c r="N128">
        <v>47</v>
      </c>
      <c r="O128">
        <v>49</v>
      </c>
      <c r="P128" s="5">
        <f>IFERROR(STDEVA(D128:H128),#N/A)</f>
        <v>0.57735026918962584</v>
      </c>
      <c r="Q128">
        <f>MEDIAN(D128:H128)</f>
        <v>40</v>
      </c>
      <c r="R128" s="2">
        <f>MAX(J128:O128)</f>
        <v>56</v>
      </c>
      <c r="S128" s="27">
        <f>100*(R128-Q128)/Q128</f>
        <v>40</v>
      </c>
      <c r="T128">
        <v>40</v>
      </c>
      <c r="U128">
        <v>42</v>
      </c>
      <c r="V128">
        <v>44</v>
      </c>
      <c r="W128">
        <v>44</v>
      </c>
      <c r="X128">
        <v>44</v>
      </c>
      <c r="Y128">
        <v>41</v>
      </c>
      <c r="Z128">
        <v>47</v>
      </c>
      <c r="AA128">
        <v>47</v>
      </c>
      <c r="AB128">
        <v>46</v>
      </c>
      <c r="AC128">
        <v>45</v>
      </c>
      <c r="AD128">
        <v>45</v>
      </c>
      <c r="AE128">
        <v>43</v>
      </c>
      <c r="AI128">
        <v>48</v>
      </c>
      <c r="AJ128">
        <v>52</v>
      </c>
      <c r="AK128">
        <v>50</v>
      </c>
      <c r="AL128">
        <v>51</v>
      </c>
      <c r="AM128">
        <v>49</v>
      </c>
      <c r="AN128">
        <v>45</v>
      </c>
      <c r="AO128">
        <v>45</v>
      </c>
      <c r="AP128">
        <v>46</v>
      </c>
      <c r="AQ128">
        <v>48</v>
      </c>
      <c r="AR128">
        <v>54</v>
      </c>
      <c r="AS128">
        <v>55</v>
      </c>
      <c r="AT128">
        <v>55</v>
      </c>
      <c r="AX128">
        <v>46</v>
      </c>
      <c r="AY128">
        <v>47</v>
      </c>
      <c r="AZ128">
        <v>51</v>
      </c>
      <c r="BA128">
        <v>46</v>
      </c>
      <c r="BB128">
        <v>46</v>
      </c>
      <c r="BC128">
        <v>45</v>
      </c>
      <c r="BD128">
        <v>46</v>
      </c>
      <c r="BE128">
        <v>54</v>
      </c>
      <c r="BF128">
        <v>51</v>
      </c>
      <c r="BG128">
        <v>50</v>
      </c>
      <c r="BH128">
        <v>51</v>
      </c>
      <c r="BI128">
        <v>49</v>
      </c>
    </row>
    <row r="129" spans="2:61" x14ac:dyDescent="0.25">
      <c r="B129" s="3" t="s">
        <v>166</v>
      </c>
      <c r="C129" t="s">
        <v>175</v>
      </c>
      <c r="D129">
        <v>41</v>
      </c>
      <c r="E129">
        <v>43</v>
      </c>
      <c r="F129">
        <v>45</v>
      </c>
      <c r="G129">
        <v>44</v>
      </c>
      <c r="H129">
        <v>44</v>
      </c>
      <c r="I129">
        <v>42</v>
      </c>
      <c r="J129">
        <v>50</v>
      </c>
      <c r="K129">
        <v>50</v>
      </c>
      <c r="L129">
        <v>49</v>
      </c>
      <c r="M129">
        <v>49</v>
      </c>
      <c r="N129">
        <v>48</v>
      </c>
      <c r="O129">
        <v>48</v>
      </c>
      <c r="P129" s="5">
        <f>IFERROR(STDEVA(D129:H129),#N/A)</f>
        <v>1.51657508881031</v>
      </c>
      <c r="Q129">
        <f>MEDIAN(D129:H129)</f>
        <v>44</v>
      </c>
      <c r="R129" s="2">
        <f>MAX(J129:O129)</f>
        <v>50</v>
      </c>
      <c r="S129" s="27">
        <f>100*(R129-Q129)/Q129</f>
        <v>13.636363636363637</v>
      </c>
      <c r="T129">
        <v>42</v>
      </c>
      <c r="U129">
        <v>42</v>
      </c>
      <c r="V129">
        <v>42</v>
      </c>
      <c r="W129">
        <v>43</v>
      </c>
      <c r="X129">
        <v>45</v>
      </c>
      <c r="Y129">
        <v>43</v>
      </c>
      <c r="Z129">
        <v>41</v>
      </c>
      <c r="AA129">
        <v>40</v>
      </c>
      <c r="AB129">
        <v>43</v>
      </c>
      <c r="AC129">
        <v>43</v>
      </c>
      <c r="AD129">
        <v>46</v>
      </c>
      <c r="AE129">
        <v>47</v>
      </c>
      <c r="AI129">
        <v>46</v>
      </c>
      <c r="AJ129">
        <v>50</v>
      </c>
      <c r="AK129">
        <v>49</v>
      </c>
      <c r="AL129">
        <v>49</v>
      </c>
      <c r="AM129">
        <v>49</v>
      </c>
      <c r="AN129">
        <v>39</v>
      </c>
      <c r="AO129">
        <v>56</v>
      </c>
      <c r="AP129">
        <v>58</v>
      </c>
      <c r="AQ129">
        <v>55</v>
      </c>
      <c r="AR129">
        <v>51</v>
      </c>
      <c r="AS129">
        <v>48</v>
      </c>
      <c r="AT129">
        <v>49</v>
      </c>
      <c r="AX129">
        <v>44</v>
      </c>
      <c r="AY129">
        <v>47</v>
      </c>
      <c r="AZ129">
        <v>50</v>
      </c>
      <c r="BA129">
        <v>49</v>
      </c>
      <c r="BB129">
        <v>48</v>
      </c>
      <c r="BC129">
        <v>40</v>
      </c>
      <c r="BD129">
        <v>50</v>
      </c>
      <c r="BE129">
        <v>48</v>
      </c>
      <c r="BF129">
        <v>46</v>
      </c>
      <c r="BG129">
        <v>43</v>
      </c>
      <c r="BH129">
        <v>47</v>
      </c>
      <c r="BI129">
        <v>47</v>
      </c>
    </row>
    <row r="130" spans="2:61" x14ac:dyDescent="0.25">
      <c r="B130" s="3" t="s">
        <v>166</v>
      </c>
      <c r="C130" t="s">
        <v>176</v>
      </c>
      <c r="D130">
        <v>44</v>
      </c>
      <c r="E130">
        <v>51</v>
      </c>
      <c r="F130">
        <v>47</v>
      </c>
      <c r="G130">
        <v>45</v>
      </c>
      <c r="H130">
        <v>46</v>
      </c>
      <c r="I130">
        <v>41</v>
      </c>
      <c r="J130">
        <v>46</v>
      </c>
      <c r="K130">
        <v>51</v>
      </c>
      <c r="L130">
        <v>47</v>
      </c>
      <c r="M130">
        <v>50</v>
      </c>
      <c r="N130">
        <v>50</v>
      </c>
      <c r="O130">
        <v>47</v>
      </c>
      <c r="P130" s="5">
        <f>IFERROR(STDEVA(D130:H130),#N/A)</f>
        <v>2.7018512172212596</v>
      </c>
      <c r="Q130">
        <f>MEDIAN(D130:H130)</f>
        <v>46</v>
      </c>
      <c r="R130" s="2">
        <f>MAX(J130:O130)</f>
        <v>51</v>
      </c>
      <c r="S130" s="27">
        <f>100*(R130-Q130)/Q130</f>
        <v>10.869565217391305</v>
      </c>
      <c r="T130">
        <v>42</v>
      </c>
      <c r="U130">
        <v>44</v>
      </c>
      <c r="V130">
        <v>47</v>
      </c>
      <c r="W130">
        <v>51</v>
      </c>
      <c r="X130">
        <v>49</v>
      </c>
      <c r="Y130">
        <v>40</v>
      </c>
      <c r="Z130">
        <v>46</v>
      </c>
      <c r="AA130">
        <v>51</v>
      </c>
      <c r="AB130">
        <v>49</v>
      </c>
      <c r="AC130">
        <v>43</v>
      </c>
      <c r="AD130">
        <v>46</v>
      </c>
      <c r="AE130">
        <v>46</v>
      </c>
      <c r="AI130">
        <v>53</v>
      </c>
      <c r="AJ130">
        <v>48</v>
      </c>
      <c r="AK130">
        <v>48</v>
      </c>
      <c r="AL130">
        <v>47</v>
      </c>
      <c r="AM130">
        <v>49</v>
      </c>
      <c r="AN130">
        <v>43</v>
      </c>
      <c r="AO130">
        <v>56</v>
      </c>
      <c r="AP130">
        <v>53</v>
      </c>
      <c r="AQ130">
        <v>53</v>
      </c>
      <c r="AR130">
        <v>51</v>
      </c>
      <c r="AS130">
        <v>49</v>
      </c>
      <c r="AT130">
        <v>50</v>
      </c>
      <c r="AX130">
        <v>45</v>
      </c>
      <c r="AY130">
        <v>48</v>
      </c>
      <c r="AZ130">
        <v>48</v>
      </c>
      <c r="BA130">
        <v>47</v>
      </c>
      <c r="BB130">
        <v>47</v>
      </c>
      <c r="BC130">
        <v>42</v>
      </c>
      <c r="BD130">
        <v>55</v>
      </c>
      <c r="BE130">
        <v>54</v>
      </c>
      <c r="BF130">
        <v>51</v>
      </c>
      <c r="BG130">
        <v>49</v>
      </c>
      <c r="BH130">
        <v>47</v>
      </c>
      <c r="BI130">
        <v>49</v>
      </c>
    </row>
    <row r="131" spans="2:61" x14ac:dyDescent="0.25">
      <c r="B131" s="3" t="s">
        <v>166</v>
      </c>
      <c r="C131" t="s">
        <v>177</v>
      </c>
      <c r="D131">
        <v>37</v>
      </c>
      <c r="E131">
        <v>40</v>
      </c>
      <c r="F131">
        <v>44</v>
      </c>
      <c r="G131">
        <v>45</v>
      </c>
      <c r="H131">
        <v>45</v>
      </c>
      <c r="I131">
        <v>39</v>
      </c>
      <c r="J131">
        <v>54</v>
      </c>
      <c r="K131">
        <v>52</v>
      </c>
      <c r="L131">
        <v>50</v>
      </c>
      <c r="M131">
        <v>47</v>
      </c>
      <c r="N131">
        <v>45</v>
      </c>
      <c r="O131">
        <v>46</v>
      </c>
      <c r="P131" s="5">
        <f>IFERROR(STDEVA(D131:H131),#N/A)</f>
        <v>3.5637059362410923</v>
      </c>
      <c r="Q131">
        <f>MEDIAN(D131:H131)</f>
        <v>44</v>
      </c>
      <c r="R131" s="2">
        <f>MAX(J131:O131)</f>
        <v>54</v>
      </c>
      <c r="S131" s="27">
        <f>100*(R131-Q131)/Q131</f>
        <v>22.727272727272727</v>
      </c>
    </row>
    <row r="132" spans="2:61" x14ac:dyDescent="0.25">
      <c r="B132" s="3" t="s">
        <v>166</v>
      </c>
      <c r="C132" t="s">
        <v>178</v>
      </c>
      <c r="D132">
        <v>44</v>
      </c>
      <c r="E132">
        <v>44</v>
      </c>
      <c r="F132">
        <v>43</v>
      </c>
      <c r="G132">
        <v>41</v>
      </c>
      <c r="H132">
        <v>47</v>
      </c>
      <c r="I132">
        <v>47</v>
      </c>
      <c r="J132">
        <v>57</v>
      </c>
      <c r="K132">
        <v>55</v>
      </c>
      <c r="L132">
        <v>49</v>
      </c>
      <c r="M132">
        <v>50</v>
      </c>
      <c r="N132">
        <v>49</v>
      </c>
      <c r="O132">
        <v>49</v>
      </c>
      <c r="P132" s="5">
        <f>IFERROR(STDEVA(D132:H132),#N/A)</f>
        <v>2.16794833886788</v>
      </c>
      <c r="Q132">
        <f>MEDIAN(D132:H132)</f>
        <v>44</v>
      </c>
      <c r="R132" s="2">
        <f>MAX(J132:O132)</f>
        <v>57</v>
      </c>
      <c r="S132" s="27">
        <f>100*(R132-Q132)/Q132</f>
        <v>29.545454545454547</v>
      </c>
      <c r="T132">
        <v>42</v>
      </c>
      <c r="U132">
        <v>45</v>
      </c>
      <c r="V132">
        <v>47</v>
      </c>
      <c r="W132">
        <v>46</v>
      </c>
      <c r="X132">
        <v>45</v>
      </c>
      <c r="Y132">
        <v>45</v>
      </c>
      <c r="Z132">
        <v>56</v>
      </c>
      <c r="AA132">
        <v>56</v>
      </c>
      <c r="AB132">
        <v>56</v>
      </c>
      <c r="AC132">
        <v>53</v>
      </c>
      <c r="AD132">
        <v>53</v>
      </c>
      <c r="AE132">
        <v>51</v>
      </c>
      <c r="AI132">
        <v>40</v>
      </c>
      <c r="AJ132">
        <v>46</v>
      </c>
      <c r="AK132">
        <v>50</v>
      </c>
      <c r="AL132">
        <v>41</v>
      </c>
      <c r="AM132">
        <v>50</v>
      </c>
      <c r="AN132">
        <v>40</v>
      </c>
      <c r="AO132">
        <v>57</v>
      </c>
      <c r="AP132">
        <v>56</v>
      </c>
      <c r="AQ132">
        <v>50</v>
      </c>
      <c r="AR132">
        <v>49</v>
      </c>
      <c r="AS132">
        <v>50</v>
      </c>
      <c r="AT132">
        <v>51</v>
      </c>
      <c r="AX132">
        <v>47</v>
      </c>
      <c r="AY132">
        <v>45</v>
      </c>
      <c r="AZ132">
        <v>46</v>
      </c>
      <c r="BA132">
        <v>47</v>
      </c>
      <c r="BB132">
        <v>47</v>
      </c>
      <c r="BC132">
        <v>39</v>
      </c>
      <c r="BD132">
        <v>57</v>
      </c>
      <c r="BE132">
        <v>55</v>
      </c>
      <c r="BF132">
        <v>54</v>
      </c>
      <c r="BG132">
        <v>54</v>
      </c>
      <c r="BH132">
        <v>56</v>
      </c>
      <c r="BI132">
        <v>55</v>
      </c>
    </row>
  </sheetData>
  <mergeCells count="22">
    <mergeCell ref="AU1:AU2"/>
    <mergeCell ref="A107:A118"/>
    <mergeCell ref="AX1:BI1"/>
    <mergeCell ref="BJ1:BJ2"/>
    <mergeCell ref="D2:H2"/>
    <mergeCell ref="J2:O2"/>
    <mergeCell ref="T2:X2"/>
    <mergeCell ref="Z2:AE2"/>
    <mergeCell ref="AI2:AM2"/>
    <mergeCell ref="AO2:AT2"/>
    <mergeCell ref="AX2:BB2"/>
    <mergeCell ref="BD2:BI2"/>
    <mergeCell ref="D1:O1"/>
    <mergeCell ref="P1:P2"/>
    <mergeCell ref="T1:AE1"/>
    <mergeCell ref="AF1:AF2"/>
    <mergeCell ref="A84:A95"/>
    <mergeCell ref="AI1:AT1"/>
    <mergeCell ref="A4:A15"/>
    <mergeCell ref="A23:A35"/>
    <mergeCell ref="A43:A56"/>
    <mergeCell ref="A64:A76"/>
  </mergeCells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C5DF-892B-3846-B0D1-38D3C7C32A5C}">
  <dimension ref="A1:BN130"/>
  <sheetViews>
    <sheetView topLeftCell="C100" workbookViewId="0">
      <pane xSplit="1" topLeftCell="M1" activePane="topRight" state="frozen"/>
      <selection activeCell="C1" sqref="C1"/>
      <selection pane="topRight" activeCell="Q130" sqref="Q130:S130"/>
    </sheetView>
  </sheetViews>
  <sheetFormatPr defaultColWidth="11.125" defaultRowHeight="15.75" x14ac:dyDescent="0.25"/>
  <cols>
    <col min="2" max="2" width="13.5" bestFit="1" customWidth="1"/>
    <col min="3" max="3" width="12.125" bestFit="1" customWidth="1"/>
    <col min="15" max="15" width="17.125" bestFit="1" customWidth="1"/>
    <col min="16" max="16" width="16.125" customWidth="1"/>
    <col min="32" max="32" width="16.125" customWidth="1"/>
    <col min="47" max="47" width="16.125" customWidth="1"/>
    <col min="62" max="62" width="16.125" customWidth="1"/>
  </cols>
  <sheetData>
    <row r="1" spans="1:66" ht="15.6" customHeight="1" x14ac:dyDescent="0.25">
      <c r="D1" s="69" t="s">
        <v>74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6" t="s">
        <v>75</v>
      </c>
      <c r="Q1" s="6"/>
      <c r="R1" s="6"/>
      <c r="S1" s="6"/>
      <c r="T1" s="70" t="s">
        <v>76</v>
      </c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66" t="s">
        <v>75</v>
      </c>
      <c r="AG1" s="6"/>
      <c r="AH1" s="6"/>
      <c r="AI1" s="69" t="s">
        <v>77</v>
      </c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6" t="s">
        <v>75</v>
      </c>
      <c r="AV1" s="6"/>
      <c r="AW1" s="6"/>
      <c r="AX1" s="70" t="s">
        <v>78</v>
      </c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66" t="s">
        <v>75</v>
      </c>
      <c r="BK1" s="6"/>
      <c r="BL1" s="6"/>
    </row>
    <row r="2" spans="1:66" s="19" customFormat="1" ht="60" customHeight="1" x14ac:dyDescent="0.25">
      <c r="D2" s="71" t="s">
        <v>79</v>
      </c>
      <c r="E2" s="71"/>
      <c r="F2" s="71"/>
      <c r="G2" s="71"/>
      <c r="H2" s="71"/>
      <c r="I2" s="7" t="s">
        <v>80</v>
      </c>
      <c r="J2" s="72" t="s">
        <v>81</v>
      </c>
      <c r="K2" s="72"/>
      <c r="L2" s="72"/>
      <c r="M2" s="72"/>
      <c r="N2" s="72"/>
      <c r="O2" s="72"/>
      <c r="P2" s="66"/>
      <c r="Q2" s="20" t="s">
        <v>82</v>
      </c>
      <c r="R2" s="20" t="s">
        <v>179</v>
      </c>
      <c r="S2" s="20" t="s">
        <v>84</v>
      </c>
      <c r="T2" s="71" t="s">
        <v>79</v>
      </c>
      <c r="U2" s="71"/>
      <c r="V2" s="71"/>
      <c r="W2" s="71"/>
      <c r="X2" s="71"/>
      <c r="Y2" s="7" t="s">
        <v>80</v>
      </c>
      <c r="Z2" s="72" t="s">
        <v>81</v>
      </c>
      <c r="AA2" s="72"/>
      <c r="AB2" s="72"/>
      <c r="AC2" s="72"/>
      <c r="AD2" s="72"/>
      <c r="AE2" s="72"/>
      <c r="AF2" s="66"/>
      <c r="AG2" s="20"/>
      <c r="AH2" s="20"/>
      <c r="AI2" s="71" t="s">
        <v>79</v>
      </c>
      <c r="AJ2" s="71"/>
      <c r="AK2" s="71"/>
      <c r="AL2" s="71"/>
      <c r="AM2" s="71"/>
      <c r="AN2" s="7" t="s">
        <v>80</v>
      </c>
      <c r="AO2" s="72" t="s">
        <v>81</v>
      </c>
      <c r="AP2" s="72"/>
      <c r="AQ2" s="72"/>
      <c r="AR2" s="72"/>
      <c r="AS2" s="72"/>
      <c r="AT2" s="72"/>
      <c r="AU2" s="66"/>
      <c r="AV2" s="20"/>
      <c r="AW2" s="20"/>
      <c r="AX2" s="71" t="s">
        <v>79</v>
      </c>
      <c r="AY2" s="71"/>
      <c r="AZ2" s="71"/>
      <c r="BA2" s="71"/>
      <c r="BB2" s="71"/>
      <c r="BC2" s="7" t="s">
        <v>80</v>
      </c>
      <c r="BD2" s="72" t="s">
        <v>81</v>
      </c>
      <c r="BE2" s="72"/>
      <c r="BF2" s="72"/>
      <c r="BG2" s="72"/>
      <c r="BH2" s="72"/>
      <c r="BI2" s="72"/>
      <c r="BJ2" s="66"/>
      <c r="BK2" s="20"/>
      <c r="BL2" s="20"/>
    </row>
    <row r="3" spans="1:66" x14ac:dyDescent="0.25">
      <c r="A3" s="1" t="s">
        <v>85</v>
      </c>
      <c r="B3" s="1" t="s">
        <v>86</v>
      </c>
      <c r="C3" s="1" t="s">
        <v>0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  <c r="M3" s="2" t="s">
        <v>96</v>
      </c>
      <c r="N3" s="2" t="s">
        <v>97</v>
      </c>
      <c r="O3" s="2" t="s">
        <v>98</v>
      </c>
      <c r="P3" s="2" t="s">
        <v>99</v>
      </c>
      <c r="Q3" s="2"/>
      <c r="R3" s="2"/>
      <c r="S3" s="2"/>
      <c r="T3" s="2" t="s">
        <v>87</v>
      </c>
      <c r="U3" s="2" t="s">
        <v>88</v>
      </c>
      <c r="V3" s="2" t="s">
        <v>89</v>
      </c>
      <c r="W3" s="2" t="s">
        <v>90</v>
      </c>
      <c r="X3" s="2" t="s">
        <v>91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/>
      <c r="AH3" s="2"/>
      <c r="AI3" s="2" t="s">
        <v>87</v>
      </c>
      <c r="AJ3" s="2" t="s">
        <v>88</v>
      </c>
      <c r="AK3" s="2" t="s">
        <v>89</v>
      </c>
      <c r="AL3" s="2" t="s">
        <v>90</v>
      </c>
      <c r="AM3" s="2" t="s">
        <v>91</v>
      </c>
      <c r="AN3" s="2" t="s">
        <v>92</v>
      </c>
      <c r="AO3" s="2" t="s">
        <v>93</v>
      </c>
      <c r="AP3" s="2" t="s">
        <v>94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99</v>
      </c>
      <c r="AV3" s="2"/>
      <c r="AW3" s="2"/>
      <c r="AX3" s="2" t="s">
        <v>87</v>
      </c>
      <c r="AY3" s="2" t="s">
        <v>88</v>
      </c>
      <c r="AZ3" s="2" t="s">
        <v>89</v>
      </c>
      <c r="BA3" s="2" t="s">
        <v>90</v>
      </c>
      <c r="BB3" s="2" t="s">
        <v>91</v>
      </c>
      <c r="BC3" s="2" t="s">
        <v>92</v>
      </c>
      <c r="BD3" s="2" t="s">
        <v>93</v>
      </c>
      <c r="BE3" s="2" t="s">
        <v>94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99</v>
      </c>
      <c r="BK3" s="2"/>
      <c r="BL3" s="2"/>
    </row>
    <row r="4" spans="1:66" x14ac:dyDescent="0.25">
      <c r="A4" s="68"/>
      <c r="B4" s="3" t="s">
        <v>100</v>
      </c>
      <c r="C4" s="21" t="s">
        <v>101</v>
      </c>
      <c r="D4">
        <v>62</v>
      </c>
      <c r="E4">
        <v>63</v>
      </c>
      <c r="F4">
        <v>65</v>
      </c>
      <c r="G4">
        <v>63</v>
      </c>
      <c r="H4">
        <v>61</v>
      </c>
      <c r="I4">
        <v>61</v>
      </c>
      <c r="J4">
        <v>69</v>
      </c>
      <c r="K4">
        <v>71</v>
      </c>
      <c r="L4">
        <v>73</v>
      </c>
      <c r="M4">
        <v>68</v>
      </c>
      <c r="P4" s="5">
        <f t="shared" ref="P4:P12" si="0">IFERROR(STDEVA(D4:H4),#N/A)</f>
        <v>1.4832396974191324</v>
      </c>
      <c r="Q4">
        <f>MEDIAN(D4:H4)</f>
        <v>63</v>
      </c>
      <c r="R4" s="2">
        <f>MAX(J4:O4)</f>
        <v>73</v>
      </c>
      <c r="S4" s="27">
        <f t="shared" ref="S4:S12" si="1">100*(R4-Q4)/Q4</f>
        <v>15.873015873015873</v>
      </c>
      <c r="AF4" s="5" t="e">
        <f t="shared" ref="AF4:AF15" si="2">IFERROR(STDEVA(T4:X4),#N/A)</f>
        <v>#N/A</v>
      </c>
      <c r="AU4" s="5" t="e">
        <f t="shared" ref="AU4:AU13" si="3">IFERROR(STDEVA(AI4:AM4),#N/A)</f>
        <v>#N/A</v>
      </c>
      <c r="BJ4" s="5" t="e">
        <f t="shared" ref="BJ4:BJ13" si="4">IFERROR(STDEVA(AX4:BB4),#N/A)</f>
        <v>#N/A</v>
      </c>
    </row>
    <row r="5" spans="1:66" x14ac:dyDescent="0.25">
      <c r="A5" s="68"/>
      <c r="B5" s="3" t="s">
        <v>100</v>
      </c>
      <c r="C5" s="21" t="s">
        <v>102</v>
      </c>
      <c r="D5">
        <v>63</v>
      </c>
      <c r="E5">
        <v>66</v>
      </c>
      <c r="F5">
        <v>72</v>
      </c>
      <c r="G5">
        <v>70</v>
      </c>
      <c r="H5">
        <v>71</v>
      </c>
      <c r="I5">
        <v>49</v>
      </c>
      <c r="J5">
        <v>73</v>
      </c>
      <c r="K5">
        <v>74</v>
      </c>
      <c r="L5">
        <v>70</v>
      </c>
      <c r="M5">
        <v>70</v>
      </c>
      <c r="P5" s="5">
        <f t="shared" si="0"/>
        <v>3.7815340802378072</v>
      </c>
      <c r="Q5">
        <f t="shared" ref="Q5:Q12" si="5">MEDIAN(D5:H5)</f>
        <v>70</v>
      </c>
      <c r="R5" s="2">
        <f t="shared" ref="R5:R12" si="6">MAX(J5:O5)</f>
        <v>74</v>
      </c>
      <c r="S5" s="27">
        <f t="shared" si="1"/>
        <v>5.7142857142857144</v>
      </c>
      <c r="AF5" s="5" t="e">
        <f t="shared" si="2"/>
        <v>#N/A</v>
      </c>
      <c r="AU5" s="5" t="e">
        <f t="shared" si="3"/>
        <v>#N/A</v>
      </c>
      <c r="BJ5" s="5" t="e">
        <f t="shared" si="4"/>
        <v>#N/A</v>
      </c>
    </row>
    <row r="6" spans="1:66" x14ac:dyDescent="0.25">
      <c r="A6" s="68"/>
      <c r="B6" s="3" t="s">
        <v>100</v>
      </c>
      <c r="C6" s="21" t="s">
        <v>103</v>
      </c>
      <c r="D6">
        <v>70</v>
      </c>
      <c r="E6">
        <v>71</v>
      </c>
      <c r="F6">
        <v>73</v>
      </c>
      <c r="G6">
        <v>72</v>
      </c>
      <c r="H6">
        <v>73</v>
      </c>
      <c r="I6">
        <v>56</v>
      </c>
      <c r="J6">
        <v>72</v>
      </c>
      <c r="K6">
        <v>77</v>
      </c>
      <c r="L6">
        <v>74</v>
      </c>
      <c r="M6">
        <v>74</v>
      </c>
      <c r="P6" s="5">
        <f t="shared" si="0"/>
        <v>1.3038404810405297</v>
      </c>
      <c r="Q6">
        <f t="shared" si="5"/>
        <v>72</v>
      </c>
      <c r="R6" s="2">
        <f t="shared" si="6"/>
        <v>77</v>
      </c>
      <c r="S6" s="27">
        <f t="shared" si="1"/>
        <v>6.9444444444444446</v>
      </c>
      <c r="AF6" s="5" t="e">
        <f t="shared" si="2"/>
        <v>#N/A</v>
      </c>
      <c r="AU6" s="5" t="e">
        <f t="shared" si="3"/>
        <v>#N/A</v>
      </c>
      <c r="BJ6" s="5" t="e">
        <f t="shared" si="4"/>
        <v>#N/A</v>
      </c>
    </row>
    <row r="7" spans="1:66" x14ac:dyDescent="0.25">
      <c r="A7" s="68"/>
      <c r="B7" s="3" t="s">
        <v>100</v>
      </c>
      <c r="C7" s="21" t="s">
        <v>104</v>
      </c>
      <c r="D7">
        <v>68</v>
      </c>
      <c r="E7">
        <v>68</v>
      </c>
      <c r="F7">
        <v>69</v>
      </c>
      <c r="G7">
        <v>69</v>
      </c>
      <c r="H7">
        <v>69</v>
      </c>
      <c r="I7">
        <v>70</v>
      </c>
      <c r="J7">
        <v>75</v>
      </c>
      <c r="K7">
        <v>81</v>
      </c>
      <c r="L7">
        <v>76</v>
      </c>
      <c r="M7">
        <v>77</v>
      </c>
      <c r="P7" s="5">
        <f t="shared" si="0"/>
        <v>0.54772255750516607</v>
      </c>
      <c r="Q7">
        <f t="shared" si="5"/>
        <v>69</v>
      </c>
      <c r="R7" s="2">
        <f t="shared" si="6"/>
        <v>81</v>
      </c>
      <c r="S7" s="27">
        <f t="shared" si="1"/>
        <v>17.391304347826086</v>
      </c>
      <c r="AF7" s="5" t="e">
        <f t="shared" si="2"/>
        <v>#N/A</v>
      </c>
      <c r="AU7" s="5" t="e">
        <f t="shared" si="3"/>
        <v>#N/A</v>
      </c>
      <c r="BJ7" s="5" t="e">
        <f t="shared" si="4"/>
        <v>#N/A</v>
      </c>
    </row>
    <row r="8" spans="1:66" x14ac:dyDescent="0.25">
      <c r="A8" s="68"/>
      <c r="B8" s="3" t="s">
        <v>100</v>
      </c>
      <c r="C8" s="21" t="s">
        <v>105</v>
      </c>
      <c r="D8">
        <v>59</v>
      </c>
      <c r="E8">
        <v>56</v>
      </c>
      <c r="F8">
        <v>60</v>
      </c>
      <c r="G8">
        <v>60</v>
      </c>
      <c r="H8">
        <v>59</v>
      </c>
      <c r="I8">
        <v>50</v>
      </c>
      <c r="J8">
        <v>74</v>
      </c>
      <c r="K8">
        <v>75</v>
      </c>
      <c r="L8">
        <v>74</v>
      </c>
      <c r="M8">
        <v>73</v>
      </c>
      <c r="P8" s="5">
        <f t="shared" si="0"/>
        <v>1.6431676725154982</v>
      </c>
      <c r="Q8">
        <f t="shared" si="5"/>
        <v>59</v>
      </c>
      <c r="R8" s="2">
        <f t="shared" si="6"/>
        <v>75</v>
      </c>
      <c r="S8" s="27">
        <f t="shared" si="1"/>
        <v>27.118644067796609</v>
      </c>
      <c r="AF8" s="5" t="e">
        <f t="shared" si="2"/>
        <v>#N/A</v>
      </c>
      <c r="AU8" s="5" t="e">
        <f t="shared" si="3"/>
        <v>#N/A</v>
      </c>
      <c r="BJ8" s="5" t="e">
        <f>IFERROR(STDEVA(AX8:BB8),#N/A)</f>
        <v>#N/A</v>
      </c>
    </row>
    <row r="9" spans="1:66" x14ac:dyDescent="0.25">
      <c r="A9" s="68"/>
      <c r="B9" s="3" t="s">
        <v>100</v>
      </c>
      <c r="C9" s="21" t="s">
        <v>106</v>
      </c>
      <c r="D9">
        <v>63</v>
      </c>
      <c r="E9">
        <v>62</v>
      </c>
      <c r="F9">
        <v>61</v>
      </c>
      <c r="G9">
        <v>61</v>
      </c>
      <c r="H9">
        <v>58</v>
      </c>
      <c r="I9">
        <v>54</v>
      </c>
      <c r="J9">
        <v>72</v>
      </c>
      <c r="K9">
        <v>61</v>
      </c>
      <c r="L9">
        <v>58</v>
      </c>
      <c r="M9">
        <v>57</v>
      </c>
      <c r="P9" s="5">
        <f t="shared" si="0"/>
        <v>1.8708286933869707</v>
      </c>
      <c r="Q9">
        <f t="shared" si="5"/>
        <v>61</v>
      </c>
      <c r="R9" s="2">
        <f t="shared" si="6"/>
        <v>72</v>
      </c>
      <c r="S9" s="27">
        <f t="shared" si="1"/>
        <v>18.032786885245901</v>
      </c>
      <c r="AF9" s="5" t="e">
        <f t="shared" si="2"/>
        <v>#N/A</v>
      </c>
      <c r="AU9" s="5" t="e">
        <f t="shared" si="3"/>
        <v>#N/A</v>
      </c>
      <c r="BJ9" s="5" t="e">
        <f t="shared" si="4"/>
        <v>#N/A</v>
      </c>
    </row>
    <row r="10" spans="1:66" x14ac:dyDescent="0.25">
      <c r="A10" s="68"/>
      <c r="B10" s="3" t="s">
        <v>100</v>
      </c>
      <c r="C10" s="21" t="s">
        <v>107</v>
      </c>
      <c r="D10">
        <v>55</v>
      </c>
      <c r="E10">
        <v>60</v>
      </c>
      <c r="F10">
        <v>66</v>
      </c>
      <c r="G10">
        <v>63</v>
      </c>
      <c r="H10">
        <v>62</v>
      </c>
      <c r="I10">
        <v>60</v>
      </c>
      <c r="J10">
        <v>71</v>
      </c>
      <c r="K10">
        <v>77</v>
      </c>
      <c r="L10">
        <v>73</v>
      </c>
      <c r="M10">
        <v>67</v>
      </c>
      <c r="P10" s="5">
        <f t="shared" si="0"/>
        <v>4.0865633483405102</v>
      </c>
      <c r="Q10">
        <f t="shared" si="5"/>
        <v>62</v>
      </c>
      <c r="R10" s="2">
        <f t="shared" si="6"/>
        <v>77</v>
      </c>
      <c r="S10" s="27">
        <f t="shared" si="1"/>
        <v>24.193548387096776</v>
      </c>
      <c r="AF10" s="5" t="e">
        <f t="shared" si="2"/>
        <v>#N/A</v>
      </c>
      <c r="AU10" s="5" t="e">
        <f t="shared" si="3"/>
        <v>#N/A</v>
      </c>
      <c r="BJ10" s="5" t="e">
        <f t="shared" si="4"/>
        <v>#N/A</v>
      </c>
    </row>
    <row r="11" spans="1:66" x14ac:dyDescent="0.25">
      <c r="A11" s="68"/>
      <c r="B11" s="3" t="s">
        <v>100</v>
      </c>
      <c r="C11" s="21" t="s">
        <v>108</v>
      </c>
      <c r="D11">
        <v>66</v>
      </c>
      <c r="E11">
        <v>66</v>
      </c>
      <c r="F11">
        <v>74</v>
      </c>
      <c r="G11">
        <v>74</v>
      </c>
      <c r="H11">
        <v>74</v>
      </c>
      <c r="I11">
        <v>54</v>
      </c>
      <c r="J11">
        <v>73</v>
      </c>
      <c r="K11">
        <v>78</v>
      </c>
      <c r="L11">
        <v>78</v>
      </c>
      <c r="M11">
        <v>77</v>
      </c>
      <c r="P11" s="5">
        <f t="shared" si="0"/>
        <v>4.3817804600413295</v>
      </c>
      <c r="Q11">
        <f t="shared" si="5"/>
        <v>74</v>
      </c>
      <c r="R11" s="2">
        <f t="shared" si="6"/>
        <v>78</v>
      </c>
      <c r="S11" s="27">
        <f t="shared" si="1"/>
        <v>5.4054054054054053</v>
      </c>
      <c r="AF11" s="5" t="e">
        <f t="shared" si="2"/>
        <v>#N/A</v>
      </c>
      <c r="AU11" s="5" t="e">
        <f t="shared" si="3"/>
        <v>#N/A</v>
      </c>
      <c r="BJ11" s="5" t="e">
        <f t="shared" si="4"/>
        <v>#N/A</v>
      </c>
    </row>
    <row r="12" spans="1:66" x14ac:dyDescent="0.25">
      <c r="A12" s="68"/>
      <c r="B12" s="3" t="s">
        <v>100</v>
      </c>
      <c r="C12" s="21" t="s">
        <v>109</v>
      </c>
      <c r="D12">
        <v>57</v>
      </c>
      <c r="E12">
        <v>55</v>
      </c>
      <c r="F12">
        <v>53</v>
      </c>
      <c r="G12">
        <v>52</v>
      </c>
      <c r="H12">
        <v>50</v>
      </c>
      <c r="I12">
        <v>46</v>
      </c>
      <c r="J12">
        <v>58</v>
      </c>
      <c r="K12">
        <v>61</v>
      </c>
      <c r="L12">
        <v>58</v>
      </c>
      <c r="M12">
        <v>59</v>
      </c>
      <c r="N12">
        <v>57</v>
      </c>
      <c r="O12">
        <v>52</v>
      </c>
      <c r="P12" s="5">
        <f t="shared" si="0"/>
        <v>2.7018512172212592</v>
      </c>
      <c r="Q12">
        <f t="shared" si="5"/>
        <v>53</v>
      </c>
      <c r="R12" s="2">
        <f t="shared" si="6"/>
        <v>61</v>
      </c>
      <c r="S12" s="27">
        <f t="shared" si="1"/>
        <v>15.09433962264151</v>
      </c>
      <c r="AF12" s="5" t="e">
        <f t="shared" si="2"/>
        <v>#N/A</v>
      </c>
      <c r="AU12" s="5" t="e">
        <f t="shared" si="3"/>
        <v>#N/A</v>
      </c>
      <c r="BJ12" s="5" t="e">
        <f t="shared" si="4"/>
        <v>#N/A</v>
      </c>
    </row>
    <row r="13" spans="1:66" x14ac:dyDescent="0.25">
      <c r="A13" s="68"/>
      <c r="B13" s="3"/>
      <c r="P13" s="31" t="s">
        <v>110</v>
      </c>
      <c r="Q13" s="30">
        <f>AVERAGE(Q4:Q12)</f>
        <v>64.777777777777771</v>
      </c>
      <c r="R13" s="30">
        <f>AVERAGE(R4:R12)</f>
        <v>74.222222222222229</v>
      </c>
      <c r="S13" s="29">
        <f>AVERAGE(S4:S12)</f>
        <v>15.085308305306476</v>
      </c>
      <c r="AF13" s="5" t="e">
        <f t="shared" si="2"/>
        <v>#N/A</v>
      </c>
      <c r="AU13" s="5" t="e">
        <f t="shared" si="3"/>
        <v>#N/A</v>
      </c>
      <c r="BJ13" s="5" t="e">
        <f t="shared" si="4"/>
        <v>#N/A</v>
      </c>
    </row>
    <row r="14" spans="1:66" x14ac:dyDescent="0.25">
      <c r="A14" s="68"/>
      <c r="B14" s="3"/>
      <c r="P14" s="31" t="s">
        <v>111</v>
      </c>
      <c r="Q14" s="29">
        <f>STDEVA(Q4:Q12)</f>
        <v>6.8879927732572748</v>
      </c>
      <c r="R14" s="29">
        <f>STDEVA(R4:R12)</f>
        <v>5.6740148435164004</v>
      </c>
      <c r="S14" s="29">
        <f>STDEVA(S4:S12)</f>
        <v>7.8276534512155811</v>
      </c>
      <c r="AF14" s="5" t="e">
        <f t="shared" si="2"/>
        <v>#N/A</v>
      </c>
      <c r="AU14" s="5" t="e">
        <f>IFERROR(STDEVA(AI14:AM14),#N/A)</f>
        <v>#N/A</v>
      </c>
      <c r="BJ14" s="5" t="e">
        <f>IFERROR(STDEVA(AX14:BB14),#N/A)</f>
        <v>#N/A</v>
      </c>
    </row>
    <row r="15" spans="1:66" ht="16.5" thickBot="1" x14ac:dyDescent="0.3">
      <c r="A15" s="68"/>
      <c r="B15" s="3"/>
      <c r="P15" s="31" t="s">
        <v>112</v>
      </c>
      <c r="Q15" s="32">
        <f>Q14/Q13</f>
        <v>0.10633265001597852</v>
      </c>
      <c r="R15" s="32">
        <f>R14/R13</f>
        <v>7.6446307771927541E-2</v>
      </c>
      <c r="S15" s="32">
        <f>S14/S13</f>
        <v>0.51889250738495618</v>
      </c>
      <c r="AF15" s="5" t="e">
        <f t="shared" si="2"/>
        <v>#N/A</v>
      </c>
      <c r="AU15" s="5" t="e">
        <f>IFERROR(STDEVA(AI15:AM15),#N/A)</f>
        <v>#N/A</v>
      </c>
      <c r="BJ15" s="5" t="e">
        <f>IFERROR(STDEVA(AX15:BB15),#N/A)</f>
        <v>#N/A</v>
      </c>
    </row>
    <row r="16" spans="1:66" x14ac:dyDescent="0.25">
      <c r="A16" s="4"/>
      <c r="B16" s="3"/>
      <c r="N16" s="9"/>
      <c r="O16" s="8" t="s">
        <v>113</v>
      </c>
      <c r="P16" s="10">
        <v>5</v>
      </c>
      <c r="Q16" s="15" t="s">
        <v>114</v>
      </c>
      <c r="R16" s="16"/>
      <c r="S16" s="16"/>
      <c r="T16" s="16"/>
      <c r="U16" s="17"/>
      <c r="AC16" s="9"/>
      <c r="AD16" s="9"/>
      <c r="AE16" s="8" t="s">
        <v>113</v>
      </c>
      <c r="AF16" s="10">
        <v>5</v>
      </c>
      <c r="AG16" s="15" t="s">
        <v>114</v>
      </c>
      <c r="AH16" s="16"/>
      <c r="AI16" s="11"/>
      <c r="AJ16" s="12"/>
      <c r="AR16" s="9"/>
      <c r="AS16" s="9"/>
      <c r="AT16" s="8" t="s">
        <v>113</v>
      </c>
      <c r="AU16" s="10">
        <v>5</v>
      </c>
      <c r="AV16" s="15" t="s">
        <v>114</v>
      </c>
      <c r="AW16" s="16"/>
      <c r="AX16" s="11"/>
      <c r="AY16" s="12"/>
      <c r="BG16" s="9"/>
      <c r="BH16" s="9"/>
      <c r="BI16" s="8" t="s">
        <v>113</v>
      </c>
      <c r="BJ16" s="10">
        <v>5</v>
      </c>
      <c r="BK16" s="15" t="s">
        <v>114</v>
      </c>
      <c r="BL16" s="16"/>
      <c r="BM16" s="11"/>
      <c r="BN16" s="12"/>
    </row>
    <row r="17" spans="1:66" ht="16.5" thickBot="1" x14ac:dyDescent="0.3">
      <c r="A17" s="4"/>
      <c r="B17" s="3"/>
      <c r="N17" s="9"/>
      <c r="O17" s="8" t="s">
        <v>115</v>
      </c>
      <c r="P17" s="10">
        <v>9</v>
      </c>
      <c r="Q17" s="18" t="s">
        <v>114</v>
      </c>
      <c r="R17" s="54"/>
      <c r="S17" s="13"/>
      <c r="T17" s="13"/>
      <c r="U17" s="14"/>
      <c r="AC17" s="9"/>
      <c r="AD17" s="9"/>
      <c r="AE17" s="8" t="s">
        <v>115</v>
      </c>
      <c r="AF17" s="10">
        <v>10</v>
      </c>
      <c r="AG17" s="18" t="s">
        <v>114</v>
      </c>
      <c r="AH17" s="13"/>
      <c r="AI17" s="13"/>
      <c r="AJ17" s="14"/>
      <c r="AR17" s="9"/>
      <c r="AS17" s="9"/>
      <c r="AT17" s="8" t="s">
        <v>115</v>
      </c>
      <c r="AU17" s="10">
        <v>10</v>
      </c>
      <c r="AV17" s="18" t="s">
        <v>114</v>
      </c>
      <c r="AW17" s="13"/>
      <c r="AX17" s="13"/>
      <c r="AY17" s="14"/>
      <c r="BG17" s="9"/>
      <c r="BH17" s="9"/>
      <c r="BI17" s="8" t="s">
        <v>115</v>
      </c>
      <c r="BJ17" s="10">
        <v>10</v>
      </c>
      <c r="BK17" s="18" t="s">
        <v>114</v>
      </c>
      <c r="BL17" s="13"/>
      <c r="BM17" s="13"/>
      <c r="BN17" s="14"/>
    </row>
    <row r="18" spans="1:66" x14ac:dyDescent="0.25">
      <c r="A18" s="4"/>
      <c r="B18" s="3"/>
      <c r="O18" s="2" t="s">
        <v>116</v>
      </c>
      <c r="P18" s="5">
        <f>SQRT(AVERAGE(P4:P15))</f>
        <v>1.5563678588198802</v>
      </c>
      <c r="AE18" s="2" t="s">
        <v>116</v>
      </c>
      <c r="AF18" s="5" t="e">
        <f>SQRT(AVERAGE(AF4:AF15))</f>
        <v>#N/A</v>
      </c>
      <c r="AT18" s="2" t="s">
        <v>116</v>
      </c>
      <c r="AU18" s="5" t="e">
        <f>SQRT(AVERAGE(AU4:AU15))</f>
        <v>#N/A</v>
      </c>
      <c r="BI18" s="2" t="s">
        <v>116</v>
      </c>
      <c r="BJ18" s="5" t="e">
        <f>SQRT(AVERAGE(BJ4:BJ15))</f>
        <v>#N/A</v>
      </c>
    </row>
    <row r="19" spans="1:66" x14ac:dyDescent="0.25">
      <c r="A19" s="4"/>
      <c r="B19" s="3"/>
      <c r="O19" s="2" t="s">
        <v>117</v>
      </c>
      <c r="P19" s="5">
        <f>2.77*P18</f>
        <v>4.3111389689310684</v>
      </c>
      <c r="AE19" s="2" t="s">
        <v>117</v>
      </c>
      <c r="AF19" s="5" t="e">
        <f>2.77*AF18</f>
        <v>#N/A</v>
      </c>
      <c r="AT19" s="2" t="s">
        <v>117</v>
      </c>
      <c r="AU19" s="5" t="e">
        <f>2.77*AU18</f>
        <v>#N/A</v>
      </c>
      <c r="BI19" s="2" t="s">
        <v>117</v>
      </c>
      <c r="BJ19" s="5" t="e">
        <f>2.77*BJ18</f>
        <v>#N/A</v>
      </c>
    </row>
    <row r="20" spans="1:66" x14ac:dyDescent="0.25">
      <c r="A20" s="4"/>
      <c r="B20" s="3"/>
      <c r="O20" s="2" t="s">
        <v>118</v>
      </c>
      <c r="P20" s="5">
        <f>P19-(1.96*(P18/(SQRT(2*P17*(P16-1)))))</f>
        <v>3.951636335046909</v>
      </c>
      <c r="AE20" s="2" t="s">
        <v>118</v>
      </c>
      <c r="AF20" s="5" t="e">
        <f>AF19-(1.96*(AF18/(SQRT(2*AF17*(AF16-1)))))</f>
        <v>#N/A</v>
      </c>
      <c r="AT20" s="2" t="s">
        <v>118</v>
      </c>
      <c r="AU20" s="5" t="e">
        <f>AU19-(1.96*(AU18/(SQRT(2*AU17*(AU16-1)))))</f>
        <v>#N/A</v>
      </c>
      <c r="BI20" s="2" t="s">
        <v>118</v>
      </c>
      <c r="BJ20" s="5" t="e">
        <f>BJ19-(1.96*(BJ18/(SQRT(2*BJ17*(BJ16-1)))))</f>
        <v>#N/A</v>
      </c>
    </row>
    <row r="21" spans="1:66" x14ac:dyDescent="0.25">
      <c r="A21" s="4"/>
      <c r="B21" s="3"/>
      <c r="O21" s="2" t="s">
        <v>119</v>
      </c>
      <c r="P21" s="5">
        <f>P19+(1.96*(P18/(SQRT(2*P17*(P16-1)))))</f>
        <v>4.6706416028152278</v>
      </c>
      <c r="AE21" s="2" t="s">
        <v>119</v>
      </c>
      <c r="AF21" s="5" t="e">
        <f>AF19+(1.96*(AF18/(SQRT(2*AF17*(AF16-1)))))</f>
        <v>#N/A</v>
      </c>
      <c r="AT21" s="2" t="s">
        <v>119</v>
      </c>
      <c r="AU21" s="5" t="e">
        <f>AU19+(1.96*(AU18/(SQRT(2*AU17*(AU16-1)))))</f>
        <v>#N/A</v>
      </c>
      <c r="BI21" s="2" t="s">
        <v>119</v>
      </c>
      <c r="BJ21" s="5" t="e">
        <f>BJ19+(1.96*(BJ18/(SQRT(2*BJ17*(BJ16-1)))))</f>
        <v>#N/A</v>
      </c>
    </row>
    <row r="22" spans="1:66" s="58" customFormat="1" x14ac:dyDescent="0.25">
      <c r="A22" s="56"/>
      <c r="B22" s="57"/>
      <c r="O22" s="59"/>
      <c r="P22" s="60"/>
      <c r="AE22" s="59"/>
      <c r="AF22" s="60"/>
      <c r="AT22" s="59"/>
      <c r="AU22" s="60"/>
      <c r="BI22" s="59"/>
      <c r="BJ22" s="60"/>
    </row>
    <row r="23" spans="1:66" x14ac:dyDescent="0.25">
      <c r="A23" s="73" t="s">
        <v>120</v>
      </c>
      <c r="B23" s="3" t="s">
        <v>100</v>
      </c>
      <c r="C23" s="21" t="s">
        <v>121</v>
      </c>
      <c r="D23">
        <v>66</v>
      </c>
      <c r="E23">
        <v>65</v>
      </c>
      <c r="F23">
        <v>69</v>
      </c>
      <c r="G23">
        <v>70</v>
      </c>
      <c r="H23">
        <v>71</v>
      </c>
      <c r="I23">
        <v>54</v>
      </c>
      <c r="J23">
        <v>75</v>
      </c>
      <c r="K23">
        <v>72</v>
      </c>
      <c r="L23">
        <v>66</v>
      </c>
      <c r="M23">
        <v>66</v>
      </c>
      <c r="P23" s="5">
        <f t="shared" ref="P23:P27" si="7">IFERROR(STDEVA(D23:H23),#N/A)</f>
        <v>2.5884358211089569</v>
      </c>
      <c r="Q23">
        <f>MEDIAN(D23:H23)</f>
        <v>69</v>
      </c>
      <c r="R23" s="2">
        <f>MAX(J23:O23)</f>
        <v>75</v>
      </c>
      <c r="S23" s="27">
        <f t="shared" ref="S23:S27" si="8">100*(R23-Q23)/Q23</f>
        <v>8.695652173913043</v>
      </c>
    </row>
    <row r="24" spans="1:66" x14ac:dyDescent="0.25">
      <c r="A24" s="73"/>
      <c r="B24" s="3" t="s">
        <v>100</v>
      </c>
      <c r="C24" s="21" t="s">
        <v>122</v>
      </c>
      <c r="D24">
        <v>61</v>
      </c>
      <c r="E24">
        <v>65</v>
      </c>
      <c r="F24">
        <v>65</v>
      </c>
      <c r="G24">
        <v>66</v>
      </c>
      <c r="H24">
        <v>63</v>
      </c>
      <c r="I24">
        <v>64</v>
      </c>
      <c r="J24">
        <v>78</v>
      </c>
      <c r="K24">
        <v>75</v>
      </c>
      <c r="L24">
        <v>76</v>
      </c>
      <c r="M24">
        <v>75</v>
      </c>
      <c r="P24" s="5">
        <f t="shared" si="7"/>
        <v>2</v>
      </c>
      <c r="Q24">
        <f t="shared" ref="Q24:Q27" si="9">MEDIAN(D24:H24)</f>
        <v>65</v>
      </c>
      <c r="R24" s="2">
        <f t="shared" ref="R24:R27" si="10">MAX(J24:O24)</f>
        <v>78</v>
      </c>
      <c r="S24" s="27">
        <f t="shared" si="8"/>
        <v>20</v>
      </c>
    </row>
    <row r="25" spans="1:66" x14ac:dyDescent="0.25">
      <c r="A25" s="73"/>
      <c r="B25" s="3" t="s">
        <v>100</v>
      </c>
      <c r="C25" s="21" t="s">
        <v>123</v>
      </c>
      <c r="D25">
        <v>58</v>
      </c>
      <c r="E25">
        <v>66</v>
      </c>
      <c r="F25">
        <v>58</v>
      </c>
      <c r="G25">
        <v>66</v>
      </c>
      <c r="H25">
        <v>70</v>
      </c>
      <c r="I25">
        <v>62</v>
      </c>
      <c r="J25">
        <v>72</v>
      </c>
      <c r="K25">
        <v>74</v>
      </c>
      <c r="L25">
        <v>80</v>
      </c>
      <c r="M25">
        <v>69</v>
      </c>
      <c r="P25" s="5">
        <f t="shared" si="7"/>
        <v>5.3665631459994954</v>
      </c>
      <c r="Q25">
        <f t="shared" si="9"/>
        <v>66</v>
      </c>
      <c r="R25" s="2">
        <f t="shared" si="10"/>
        <v>80</v>
      </c>
      <c r="S25" s="27">
        <f t="shared" si="8"/>
        <v>21.212121212121211</v>
      </c>
    </row>
    <row r="26" spans="1:66" x14ac:dyDescent="0.25">
      <c r="A26" s="73"/>
      <c r="B26" s="3" t="s">
        <v>100</v>
      </c>
      <c r="C26" s="21" t="s">
        <v>124</v>
      </c>
      <c r="D26">
        <v>56</v>
      </c>
      <c r="E26">
        <v>58</v>
      </c>
      <c r="F26">
        <v>57</v>
      </c>
      <c r="G26">
        <v>56</v>
      </c>
      <c r="H26">
        <v>57</v>
      </c>
      <c r="I26">
        <v>43</v>
      </c>
      <c r="J26">
        <v>53</v>
      </c>
      <c r="K26">
        <v>58</v>
      </c>
      <c r="L26">
        <v>53</v>
      </c>
      <c r="M26">
        <v>55</v>
      </c>
      <c r="N26">
        <v>54</v>
      </c>
      <c r="O26">
        <v>53</v>
      </c>
      <c r="P26" s="5">
        <f t="shared" si="7"/>
        <v>0.83666002653407556</v>
      </c>
      <c r="Q26">
        <f t="shared" si="9"/>
        <v>57</v>
      </c>
      <c r="R26" s="2">
        <f t="shared" si="10"/>
        <v>58</v>
      </c>
      <c r="S26" s="27">
        <f t="shared" si="8"/>
        <v>1.7543859649122806</v>
      </c>
      <c r="T26">
        <v>55</v>
      </c>
      <c r="U26">
        <v>54</v>
      </c>
      <c r="V26">
        <v>52</v>
      </c>
      <c r="W26">
        <v>51</v>
      </c>
      <c r="X26">
        <v>57</v>
      </c>
      <c r="Y26">
        <v>33</v>
      </c>
      <c r="Z26">
        <v>64</v>
      </c>
      <c r="AA26">
        <v>61</v>
      </c>
      <c r="AB26">
        <v>61</v>
      </c>
      <c r="AC26">
        <v>59</v>
      </c>
      <c r="AD26">
        <v>60</v>
      </c>
      <c r="AE26">
        <v>60</v>
      </c>
      <c r="AI26">
        <v>48</v>
      </c>
      <c r="AJ26">
        <v>52</v>
      </c>
      <c r="AK26">
        <v>51</v>
      </c>
      <c r="AL26">
        <v>51</v>
      </c>
      <c r="AM26">
        <v>52</v>
      </c>
      <c r="AN26">
        <v>43</v>
      </c>
      <c r="AO26">
        <v>55</v>
      </c>
      <c r="AP26">
        <v>58</v>
      </c>
      <c r="AQ26">
        <v>57</v>
      </c>
      <c r="AR26">
        <v>58</v>
      </c>
      <c r="AS26">
        <v>56</v>
      </c>
      <c r="AT26">
        <v>55</v>
      </c>
      <c r="AX26">
        <v>58</v>
      </c>
      <c r="AY26">
        <v>59</v>
      </c>
      <c r="AZ26">
        <v>59</v>
      </c>
      <c r="BA26">
        <v>58</v>
      </c>
      <c r="BB26">
        <v>58</v>
      </c>
      <c r="BC26">
        <v>46</v>
      </c>
      <c r="BD26">
        <v>60</v>
      </c>
      <c r="BE26">
        <v>61</v>
      </c>
      <c r="BF26">
        <v>59</v>
      </c>
      <c r="BG26">
        <v>56</v>
      </c>
      <c r="BH26">
        <v>56</v>
      </c>
      <c r="BI26">
        <v>57</v>
      </c>
    </row>
    <row r="27" spans="1:66" x14ac:dyDescent="0.25">
      <c r="A27" s="73"/>
      <c r="B27" s="3" t="s">
        <v>100</v>
      </c>
      <c r="C27" s="21" t="s">
        <v>125</v>
      </c>
      <c r="D27">
        <v>58</v>
      </c>
      <c r="E27">
        <v>59</v>
      </c>
      <c r="F27">
        <v>55</v>
      </c>
      <c r="G27">
        <v>54</v>
      </c>
      <c r="H27">
        <v>58</v>
      </c>
      <c r="I27">
        <v>43</v>
      </c>
      <c r="J27">
        <v>59</v>
      </c>
      <c r="K27">
        <v>60</v>
      </c>
      <c r="L27">
        <v>62</v>
      </c>
      <c r="M27">
        <v>60</v>
      </c>
      <c r="N27">
        <v>62</v>
      </c>
      <c r="O27">
        <v>61</v>
      </c>
      <c r="P27" s="5">
        <f t="shared" si="7"/>
        <v>2.16794833886788</v>
      </c>
      <c r="Q27">
        <f t="shared" si="9"/>
        <v>58</v>
      </c>
      <c r="R27" s="2">
        <f t="shared" si="10"/>
        <v>62</v>
      </c>
      <c r="S27" s="27">
        <f t="shared" si="8"/>
        <v>6.8965517241379306</v>
      </c>
    </row>
    <row r="28" spans="1:66" x14ac:dyDescent="0.25">
      <c r="A28" s="73"/>
      <c r="B28" s="3" t="s">
        <v>100</v>
      </c>
      <c r="C28" s="21" t="s">
        <v>126</v>
      </c>
      <c r="D28">
        <v>41</v>
      </c>
      <c r="E28">
        <v>52</v>
      </c>
      <c r="F28">
        <v>54</v>
      </c>
      <c r="G28">
        <v>52</v>
      </c>
      <c r="H28">
        <v>52</v>
      </c>
      <c r="I28">
        <v>41</v>
      </c>
      <c r="J28">
        <v>40</v>
      </c>
      <c r="K28">
        <v>46</v>
      </c>
      <c r="L28">
        <v>47</v>
      </c>
      <c r="M28">
        <v>46</v>
      </c>
      <c r="N28">
        <v>47</v>
      </c>
      <c r="O28">
        <v>48</v>
      </c>
      <c r="P28" s="5">
        <f t="shared" ref="P28:P29" si="11">IFERROR(STDEVA(D28:H28),#N/A)</f>
        <v>5.2153619241621199</v>
      </c>
      <c r="Q28">
        <f>MEDIAN(D28:H28)</f>
        <v>52</v>
      </c>
      <c r="R28" s="2">
        <f>MAX(J28:O28)</f>
        <v>48</v>
      </c>
      <c r="S28" s="27">
        <f t="shared" ref="S28:S29" si="12">100*(R28-Q28)/Q28</f>
        <v>-7.6923076923076925</v>
      </c>
    </row>
    <row r="29" spans="1:66" x14ac:dyDescent="0.25">
      <c r="A29" s="73"/>
      <c r="B29" s="3" t="s">
        <v>100</v>
      </c>
      <c r="C29" s="21" t="s">
        <v>127</v>
      </c>
      <c r="D29">
        <v>43</v>
      </c>
      <c r="E29">
        <v>46</v>
      </c>
      <c r="F29">
        <v>51</v>
      </c>
      <c r="G29">
        <v>52</v>
      </c>
      <c r="H29">
        <v>53</v>
      </c>
      <c r="I29">
        <v>44</v>
      </c>
      <c r="J29">
        <v>55</v>
      </c>
      <c r="K29">
        <v>54</v>
      </c>
      <c r="L29">
        <v>47</v>
      </c>
      <c r="M29">
        <v>52</v>
      </c>
      <c r="N29">
        <v>51</v>
      </c>
      <c r="O29">
        <v>49</v>
      </c>
      <c r="P29" s="5">
        <f t="shared" si="11"/>
        <v>4.3011626335213133</v>
      </c>
      <c r="Q29">
        <f t="shared" ref="Q29" si="13">MEDIAN(D29:H29)</f>
        <v>51</v>
      </c>
      <c r="R29" s="2">
        <f t="shared" ref="R29" si="14">MAX(J29:O29)</f>
        <v>55</v>
      </c>
      <c r="S29" s="27">
        <f t="shared" si="12"/>
        <v>7.8431372549019605</v>
      </c>
    </row>
    <row r="30" spans="1:66" x14ac:dyDescent="0.25">
      <c r="A30" s="73"/>
      <c r="B30" s="3"/>
      <c r="P30" s="31" t="s">
        <v>110</v>
      </c>
      <c r="Q30" s="30">
        <f>AVERAGE(Q20:Q29)</f>
        <v>59.714285714285715</v>
      </c>
      <c r="R30" s="30">
        <f>AVERAGE(R21:R29)</f>
        <v>65.142857142857139</v>
      </c>
      <c r="S30" s="29">
        <f>AVERAGE(S20:S29)</f>
        <v>8.3870772339541038</v>
      </c>
    </row>
    <row r="31" spans="1:66" x14ac:dyDescent="0.25">
      <c r="A31" s="73"/>
      <c r="B31" s="3"/>
      <c r="P31" s="31" t="s">
        <v>111</v>
      </c>
      <c r="Q31" s="29">
        <f>STDEVA(Q20:Q29)</f>
        <v>7.0643302516772302</v>
      </c>
      <c r="R31" s="29">
        <f>STDEVA(R21:R29)</f>
        <v>12.522360951894157</v>
      </c>
      <c r="S31" s="29">
        <f>STDEVA(S23:S29)</f>
        <v>10.037377618840333</v>
      </c>
    </row>
    <row r="32" spans="1:66" ht="16.5" thickBot="1" x14ac:dyDescent="0.3">
      <c r="A32" s="73"/>
      <c r="B32" s="3"/>
      <c r="P32" s="31" t="s">
        <v>112</v>
      </c>
      <c r="Q32" s="32">
        <f>Q31/Q30</f>
        <v>0.11830218124818327</v>
      </c>
      <c r="R32" s="32">
        <f>R31/R30</f>
        <v>0.19222922513872612</v>
      </c>
      <c r="S32" s="32">
        <f>S31/S30</f>
        <v>1.1967670427792392</v>
      </c>
    </row>
    <row r="33" spans="1:66" x14ac:dyDescent="0.25">
      <c r="A33" s="4"/>
      <c r="B33" s="3"/>
      <c r="N33" s="9"/>
      <c r="O33" s="8" t="s">
        <v>113</v>
      </c>
      <c r="P33" s="10">
        <v>5</v>
      </c>
      <c r="Q33" s="15" t="s">
        <v>114</v>
      </c>
      <c r="R33" s="16"/>
      <c r="S33" s="16"/>
      <c r="T33" s="16"/>
      <c r="U33" s="17"/>
      <c r="AC33" s="9"/>
      <c r="AD33" s="9"/>
      <c r="AE33" s="8" t="s">
        <v>113</v>
      </c>
      <c r="AF33" s="10">
        <v>5</v>
      </c>
      <c r="AG33" s="15" t="s">
        <v>114</v>
      </c>
      <c r="AH33" s="16"/>
      <c r="AI33" s="11"/>
      <c r="AJ33" s="12"/>
      <c r="AR33" s="9"/>
      <c r="AS33" s="9"/>
      <c r="AT33" s="8" t="s">
        <v>113</v>
      </c>
      <c r="AU33" s="10">
        <v>5</v>
      </c>
      <c r="AV33" s="15" t="s">
        <v>114</v>
      </c>
      <c r="AW33" s="16"/>
      <c r="AX33" s="11"/>
      <c r="AY33" s="12"/>
      <c r="BG33" s="9"/>
      <c r="BH33" s="9"/>
      <c r="BI33" s="8" t="s">
        <v>113</v>
      </c>
      <c r="BJ33" s="10">
        <v>5</v>
      </c>
      <c r="BK33" s="15" t="s">
        <v>114</v>
      </c>
      <c r="BL33" s="16"/>
      <c r="BM33" s="11"/>
      <c r="BN33" s="12"/>
    </row>
    <row r="34" spans="1:66" ht="16.5" thickBot="1" x14ac:dyDescent="0.3">
      <c r="A34" s="4"/>
      <c r="B34" s="3"/>
      <c r="N34" s="9"/>
      <c r="O34" s="8" t="s">
        <v>115</v>
      </c>
      <c r="P34" s="10">
        <v>7</v>
      </c>
      <c r="Q34" s="18" t="s">
        <v>114</v>
      </c>
      <c r="R34" s="54"/>
      <c r="S34" s="13"/>
      <c r="T34" s="13"/>
      <c r="U34" s="14"/>
      <c r="AC34" s="9"/>
      <c r="AD34" s="9"/>
      <c r="AE34" s="8" t="s">
        <v>115</v>
      </c>
      <c r="AF34" s="10">
        <v>10</v>
      </c>
      <c r="AG34" s="18" t="s">
        <v>114</v>
      </c>
      <c r="AH34" s="13"/>
      <c r="AI34" s="13"/>
      <c r="AJ34" s="14"/>
      <c r="AR34" s="9"/>
      <c r="AS34" s="9"/>
      <c r="AT34" s="8" t="s">
        <v>115</v>
      </c>
      <c r="AU34" s="10">
        <v>10</v>
      </c>
      <c r="AV34" s="18" t="s">
        <v>114</v>
      </c>
      <c r="AW34" s="13"/>
      <c r="AX34" s="13"/>
      <c r="AY34" s="14"/>
      <c r="BG34" s="9"/>
      <c r="BH34" s="9"/>
      <c r="BI34" s="8" t="s">
        <v>115</v>
      </c>
      <c r="BJ34" s="10">
        <v>10</v>
      </c>
      <c r="BK34" s="18" t="s">
        <v>114</v>
      </c>
      <c r="BL34" s="13"/>
      <c r="BM34" s="13"/>
      <c r="BN34" s="14"/>
    </row>
    <row r="35" spans="1:66" x14ac:dyDescent="0.25">
      <c r="A35" s="4"/>
      <c r="B35" s="3"/>
      <c r="O35" s="2" t="s">
        <v>116</v>
      </c>
      <c r="P35" s="5">
        <f>SQRT(AVERAGE(P23:P32))</f>
        <v>1.7918917334240387</v>
      </c>
      <c r="AE35" s="2" t="s">
        <v>116</v>
      </c>
      <c r="AF35" s="5" t="e">
        <f>SQRT(AVERAGE(AF23:AF32))</f>
        <v>#DIV/0!</v>
      </c>
      <c r="AT35" s="2" t="s">
        <v>116</v>
      </c>
      <c r="AU35" s="5" t="e">
        <f>SQRT(AVERAGE(AU23:AU32))</f>
        <v>#DIV/0!</v>
      </c>
      <c r="BI35" s="2" t="s">
        <v>116</v>
      </c>
      <c r="BJ35" s="5" t="e">
        <f>SQRT(AVERAGE(BJ23:BJ32))</f>
        <v>#DIV/0!</v>
      </c>
    </row>
    <row r="36" spans="1:66" x14ac:dyDescent="0.25">
      <c r="A36" s="4"/>
      <c r="B36" s="3"/>
      <c r="O36" s="2" t="s">
        <v>117</v>
      </c>
      <c r="P36" s="5">
        <f>2.77*P35</f>
        <v>4.963540101584587</v>
      </c>
      <c r="AE36" s="2" t="s">
        <v>117</v>
      </c>
      <c r="AF36" s="5" t="e">
        <f>2.77*AF35</f>
        <v>#DIV/0!</v>
      </c>
      <c r="AT36" s="2" t="s">
        <v>117</v>
      </c>
      <c r="AU36" s="5" t="e">
        <f>2.77*AU35</f>
        <v>#DIV/0!</v>
      </c>
      <c r="BI36" s="2" t="s">
        <v>117</v>
      </c>
      <c r="BJ36" s="5" t="e">
        <f>2.77*BJ35</f>
        <v>#DIV/0!</v>
      </c>
    </row>
    <row r="37" spans="1:66" x14ac:dyDescent="0.25">
      <c r="A37" s="4"/>
      <c r="B37" s="3"/>
      <c r="O37" s="2" t="s">
        <v>118</v>
      </c>
      <c r="P37" s="5">
        <f>P36-(1.96*(P35/(SQRT(2*P34*(P33-1)))))</f>
        <v>4.4942149557380215</v>
      </c>
      <c r="AE37" s="2" t="s">
        <v>118</v>
      </c>
      <c r="AF37" s="5" t="e">
        <f>AF36-(1.96*(AF35/(SQRT(2*AF34*(AF33-1)))))</f>
        <v>#DIV/0!</v>
      </c>
      <c r="AT37" s="2" t="s">
        <v>118</v>
      </c>
      <c r="AU37" s="5" t="e">
        <f>AU36-(1.96*(AU35/(SQRT(2*AU34*(AU33-1)))))</f>
        <v>#DIV/0!</v>
      </c>
      <c r="BI37" s="2" t="s">
        <v>118</v>
      </c>
      <c r="BJ37" s="5" t="e">
        <f>BJ36-(1.96*(BJ35/(SQRT(2*BJ34*(BJ33-1)))))</f>
        <v>#DIV/0!</v>
      </c>
    </row>
    <row r="38" spans="1:66" x14ac:dyDescent="0.25">
      <c r="A38" s="4"/>
      <c r="B38" s="3"/>
      <c r="O38" s="2" t="s">
        <v>119</v>
      </c>
      <c r="P38" s="5">
        <f>P36+(1.96*(P35/(SQRT(2*P34*(P33-1)))))</f>
        <v>5.4328652474311525</v>
      </c>
      <c r="AE38" s="2" t="s">
        <v>119</v>
      </c>
      <c r="AF38" s="5" t="e">
        <f>AF36+(1.96*(AF35/(SQRT(2*AF34*(AF33-1)))))</f>
        <v>#DIV/0!</v>
      </c>
      <c r="AT38" s="2" t="s">
        <v>119</v>
      </c>
      <c r="AU38" s="5" t="e">
        <f>AU36+(1.96*(AU35/(SQRT(2*AU34*(AU33-1)))))</f>
        <v>#DIV/0!</v>
      </c>
      <c r="BI38" s="2" t="s">
        <v>119</v>
      </c>
      <c r="BJ38" s="5" t="e">
        <f>BJ36+(1.96*(BJ35/(SQRT(2*BJ34*(BJ33-1)))))</f>
        <v>#DIV/0!</v>
      </c>
    </row>
    <row r="39" spans="1:66" s="58" customFormat="1" x14ac:dyDescent="0.25">
      <c r="A39" s="56"/>
      <c r="B39" s="57"/>
      <c r="O39" s="59"/>
      <c r="P39" s="60"/>
      <c r="AE39" s="59"/>
      <c r="AF39" s="60"/>
      <c r="AT39" s="59"/>
      <c r="AU39" s="60"/>
      <c r="BI39" s="59"/>
      <c r="BJ39" s="60"/>
    </row>
    <row r="40" spans="1:66" x14ac:dyDescent="0.25">
      <c r="A40" s="68" t="s">
        <v>128</v>
      </c>
      <c r="B40" s="3" t="s">
        <v>100</v>
      </c>
      <c r="C40" s="21" t="s">
        <v>129</v>
      </c>
      <c r="D40">
        <v>67</v>
      </c>
      <c r="E40">
        <v>73</v>
      </c>
      <c r="F40">
        <v>69</v>
      </c>
      <c r="G40">
        <v>69</v>
      </c>
      <c r="H40">
        <v>68</v>
      </c>
      <c r="I40">
        <v>64</v>
      </c>
      <c r="J40">
        <v>75</v>
      </c>
      <c r="K40">
        <v>74</v>
      </c>
      <c r="L40">
        <v>76</v>
      </c>
      <c r="M40">
        <v>74</v>
      </c>
      <c r="P40" s="5">
        <f t="shared" ref="P40:P44" si="15">IFERROR(STDEVA(D40:H40),#N/A)</f>
        <v>2.2803508501982761</v>
      </c>
      <c r="Q40">
        <f>MEDIAN(D40:H40)</f>
        <v>69</v>
      </c>
      <c r="R40" s="2">
        <f>MAX(J40:O40)</f>
        <v>76</v>
      </c>
      <c r="S40" s="27">
        <f t="shared" ref="S40:S44" si="16">100*(R40-Q40)/Q40</f>
        <v>10.144927536231885</v>
      </c>
    </row>
    <row r="41" spans="1:66" x14ac:dyDescent="0.25">
      <c r="A41" s="68"/>
      <c r="B41" s="3" t="s">
        <v>100</v>
      </c>
      <c r="C41" s="21" t="s">
        <v>130</v>
      </c>
      <c r="D41">
        <v>55</v>
      </c>
      <c r="E41">
        <v>58</v>
      </c>
      <c r="F41">
        <v>55</v>
      </c>
      <c r="G41">
        <v>56</v>
      </c>
      <c r="H41">
        <v>58</v>
      </c>
      <c r="I41">
        <v>60</v>
      </c>
      <c r="J41">
        <v>70</v>
      </c>
      <c r="K41">
        <v>69</v>
      </c>
      <c r="L41">
        <v>65</v>
      </c>
      <c r="M41">
        <v>62</v>
      </c>
      <c r="P41" s="5">
        <f t="shared" si="15"/>
        <v>1.5165750888103102</v>
      </c>
      <c r="Q41">
        <f t="shared" ref="Q41:Q45" si="17">MEDIAN(D41:H41)</f>
        <v>56</v>
      </c>
      <c r="R41" s="2">
        <f t="shared" ref="R41:R45" si="18">MAX(J41:O41)</f>
        <v>70</v>
      </c>
      <c r="S41" s="27">
        <f t="shared" si="16"/>
        <v>25</v>
      </c>
    </row>
    <row r="42" spans="1:66" x14ac:dyDescent="0.25">
      <c r="A42" s="68"/>
      <c r="B42" s="3" t="s">
        <v>100</v>
      </c>
      <c r="C42" s="21" t="s">
        <v>131</v>
      </c>
      <c r="D42">
        <v>48</v>
      </c>
      <c r="E42">
        <v>46</v>
      </c>
      <c r="F42">
        <v>47</v>
      </c>
      <c r="G42">
        <v>51</v>
      </c>
      <c r="H42">
        <v>52</v>
      </c>
      <c r="I42">
        <v>43</v>
      </c>
      <c r="J42">
        <v>59</v>
      </c>
      <c r="K42">
        <v>58</v>
      </c>
      <c r="L42">
        <v>56</v>
      </c>
      <c r="M42">
        <v>53</v>
      </c>
      <c r="N42">
        <v>52</v>
      </c>
      <c r="O42">
        <v>56</v>
      </c>
      <c r="P42" s="5">
        <f t="shared" si="15"/>
        <v>2.5884358211089569</v>
      </c>
      <c r="Q42">
        <f t="shared" si="17"/>
        <v>48</v>
      </c>
      <c r="R42" s="2">
        <f t="shared" si="18"/>
        <v>59</v>
      </c>
      <c r="S42" s="27">
        <f t="shared" si="16"/>
        <v>22.916666666666668</v>
      </c>
      <c r="T42">
        <v>47</v>
      </c>
      <c r="U42">
        <v>53</v>
      </c>
      <c r="V42">
        <v>51</v>
      </c>
      <c r="W42">
        <v>52</v>
      </c>
      <c r="X42">
        <v>53</v>
      </c>
      <c r="Y42">
        <v>41</v>
      </c>
      <c r="Z42">
        <v>60</v>
      </c>
      <c r="AA42">
        <v>60</v>
      </c>
      <c r="AB42">
        <v>59</v>
      </c>
      <c r="AC42">
        <v>55</v>
      </c>
      <c r="AD42">
        <v>52</v>
      </c>
      <c r="AE42">
        <v>52</v>
      </c>
      <c r="AI42">
        <v>53</v>
      </c>
      <c r="AJ42">
        <v>57</v>
      </c>
      <c r="AK42">
        <v>56</v>
      </c>
      <c r="AL42">
        <v>58</v>
      </c>
      <c r="AM42">
        <v>60</v>
      </c>
      <c r="AN42">
        <v>47</v>
      </c>
      <c r="AO42">
        <v>62</v>
      </c>
      <c r="AP42">
        <v>63</v>
      </c>
      <c r="AQ42">
        <v>61</v>
      </c>
      <c r="AR42">
        <v>59</v>
      </c>
      <c r="AS42">
        <v>58</v>
      </c>
      <c r="AT42">
        <v>57</v>
      </c>
      <c r="AX42">
        <v>51</v>
      </c>
      <c r="AY42">
        <v>54</v>
      </c>
      <c r="AZ42">
        <v>57</v>
      </c>
      <c r="BA42">
        <v>56</v>
      </c>
      <c r="BB42">
        <v>54</v>
      </c>
      <c r="BC42">
        <v>47</v>
      </c>
      <c r="BD42">
        <v>63</v>
      </c>
      <c r="BE42">
        <v>63</v>
      </c>
      <c r="BF42">
        <v>60</v>
      </c>
      <c r="BG42">
        <v>58</v>
      </c>
      <c r="BH42">
        <v>58</v>
      </c>
      <c r="BI42">
        <v>56</v>
      </c>
    </row>
    <row r="43" spans="1:66" x14ac:dyDescent="0.25">
      <c r="A43" s="68"/>
      <c r="B43" s="3" t="s">
        <v>100</v>
      </c>
      <c r="C43" s="21" t="s">
        <v>132</v>
      </c>
      <c r="D43">
        <v>47</v>
      </c>
      <c r="E43">
        <v>48</v>
      </c>
      <c r="F43">
        <v>49</v>
      </c>
      <c r="G43">
        <v>47</v>
      </c>
      <c r="I43">
        <v>41</v>
      </c>
      <c r="J43">
        <v>53</v>
      </c>
      <c r="K43">
        <v>46</v>
      </c>
      <c r="L43">
        <v>48</v>
      </c>
      <c r="M43">
        <v>50</v>
      </c>
      <c r="N43">
        <v>48</v>
      </c>
      <c r="O43">
        <v>48</v>
      </c>
      <c r="P43" s="5">
        <f t="shared" si="15"/>
        <v>0.9574271077563381</v>
      </c>
      <c r="Q43">
        <f t="shared" si="17"/>
        <v>47.5</v>
      </c>
      <c r="R43" s="2">
        <f t="shared" si="18"/>
        <v>53</v>
      </c>
      <c r="S43" s="27">
        <f t="shared" si="16"/>
        <v>11.578947368421053</v>
      </c>
    </row>
    <row r="44" spans="1:66" x14ac:dyDescent="0.25">
      <c r="A44" s="68"/>
      <c r="B44" s="3" t="s">
        <v>100</v>
      </c>
      <c r="C44" s="21" t="s">
        <v>133</v>
      </c>
      <c r="D44">
        <v>42</v>
      </c>
      <c r="E44">
        <v>48</v>
      </c>
      <c r="F44">
        <v>43</v>
      </c>
      <c r="G44">
        <v>43</v>
      </c>
      <c r="H44">
        <v>48</v>
      </c>
      <c r="I44">
        <v>43</v>
      </c>
      <c r="J44">
        <v>57</v>
      </c>
      <c r="K44">
        <v>47</v>
      </c>
      <c r="L44">
        <v>44</v>
      </c>
      <c r="M44">
        <v>48</v>
      </c>
      <c r="N44">
        <v>48</v>
      </c>
      <c r="O44">
        <v>53</v>
      </c>
      <c r="P44" s="5">
        <f t="shared" si="15"/>
        <v>2.9495762407505248</v>
      </c>
      <c r="Q44">
        <f t="shared" si="17"/>
        <v>43</v>
      </c>
      <c r="R44" s="2">
        <f t="shared" si="18"/>
        <v>57</v>
      </c>
      <c r="S44" s="27">
        <f t="shared" si="16"/>
        <v>32.558139534883722</v>
      </c>
    </row>
    <row r="45" spans="1:66" x14ac:dyDescent="0.25">
      <c r="A45" s="68"/>
      <c r="B45" s="3" t="s">
        <v>100</v>
      </c>
      <c r="C45" s="21" t="s">
        <v>134</v>
      </c>
      <c r="D45">
        <v>43</v>
      </c>
      <c r="E45">
        <v>46</v>
      </c>
      <c r="F45">
        <v>43</v>
      </c>
      <c r="G45">
        <v>45</v>
      </c>
      <c r="H45">
        <v>46</v>
      </c>
      <c r="I45">
        <v>46</v>
      </c>
      <c r="J45">
        <v>59</v>
      </c>
      <c r="K45">
        <v>56</v>
      </c>
      <c r="L45">
        <v>50</v>
      </c>
      <c r="M45">
        <v>51</v>
      </c>
      <c r="N45">
        <v>50</v>
      </c>
      <c r="O45">
        <v>51</v>
      </c>
      <c r="P45" s="5">
        <f t="shared" ref="P45:P50" si="19">IFERROR(STDEVA(D45:H45),#N/A)</f>
        <v>1.5165750888103102</v>
      </c>
      <c r="Q45">
        <f t="shared" si="17"/>
        <v>45</v>
      </c>
      <c r="R45" s="2">
        <f t="shared" si="18"/>
        <v>59</v>
      </c>
      <c r="S45" s="27">
        <f t="shared" ref="S45:S50" si="20">100*(R45-Q45)/Q45</f>
        <v>31.111111111111111</v>
      </c>
      <c r="T45">
        <v>52</v>
      </c>
      <c r="U45">
        <v>52</v>
      </c>
      <c r="V45">
        <v>51</v>
      </c>
      <c r="W45">
        <v>49</v>
      </c>
      <c r="X45">
        <v>54</v>
      </c>
      <c r="Y45">
        <v>40</v>
      </c>
      <c r="Z45">
        <v>60</v>
      </c>
      <c r="AA45">
        <v>59</v>
      </c>
      <c r="AB45">
        <v>53</v>
      </c>
      <c r="AC45">
        <v>54</v>
      </c>
      <c r="AD45">
        <v>50</v>
      </c>
      <c r="AE45">
        <v>51</v>
      </c>
      <c r="AI45">
        <v>53</v>
      </c>
      <c r="AJ45">
        <v>51</v>
      </c>
      <c r="AK45">
        <v>54</v>
      </c>
      <c r="AL45">
        <v>55</v>
      </c>
      <c r="AM45">
        <v>56</v>
      </c>
      <c r="AN45">
        <v>47</v>
      </c>
      <c r="AO45">
        <v>61</v>
      </c>
      <c r="AP45">
        <v>62</v>
      </c>
      <c r="AQ45">
        <v>61</v>
      </c>
      <c r="AR45">
        <v>61</v>
      </c>
      <c r="AS45">
        <v>58</v>
      </c>
      <c r="AT45">
        <v>61</v>
      </c>
      <c r="AX45">
        <v>53</v>
      </c>
      <c r="AY45">
        <v>56</v>
      </c>
      <c r="AZ45">
        <v>57</v>
      </c>
      <c r="BA45">
        <v>57</v>
      </c>
      <c r="BB45">
        <v>57</v>
      </c>
      <c r="BC45">
        <v>48</v>
      </c>
      <c r="BD45">
        <v>61</v>
      </c>
      <c r="BE45">
        <v>63</v>
      </c>
      <c r="BF45">
        <v>59</v>
      </c>
      <c r="BG45">
        <v>60</v>
      </c>
      <c r="BH45">
        <v>56</v>
      </c>
      <c r="BI45">
        <v>57</v>
      </c>
    </row>
    <row r="46" spans="1:66" x14ac:dyDescent="0.25">
      <c r="A46" s="68"/>
      <c r="B46" s="3" t="s">
        <v>100</v>
      </c>
      <c r="C46" s="21" t="s">
        <v>135</v>
      </c>
      <c r="D46">
        <v>42</v>
      </c>
      <c r="E46">
        <v>54</v>
      </c>
      <c r="F46">
        <v>53</v>
      </c>
      <c r="G46">
        <v>53</v>
      </c>
      <c r="H46">
        <v>52</v>
      </c>
      <c r="I46">
        <v>54</v>
      </c>
      <c r="J46">
        <v>50</v>
      </c>
      <c r="K46">
        <v>60</v>
      </c>
      <c r="L46">
        <v>58</v>
      </c>
      <c r="M46">
        <v>51</v>
      </c>
      <c r="N46">
        <v>53</v>
      </c>
      <c r="O46">
        <v>50</v>
      </c>
      <c r="P46" s="5">
        <f t="shared" si="19"/>
        <v>4.9699094559156718</v>
      </c>
      <c r="Q46">
        <f t="shared" ref="Q46:Q50" si="21">MEDIAN(D46:H46)</f>
        <v>53</v>
      </c>
      <c r="R46" s="2">
        <f t="shared" ref="R46:R50" si="22">MAX(J46:O46)</f>
        <v>60</v>
      </c>
      <c r="S46" s="27">
        <f t="shared" si="20"/>
        <v>13.20754716981132</v>
      </c>
    </row>
    <row r="47" spans="1:66" x14ac:dyDescent="0.25">
      <c r="A47" s="68"/>
      <c r="B47" s="3" t="s">
        <v>100</v>
      </c>
      <c r="C47" s="21" t="s">
        <v>136</v>
      </c>
      <c r="D47">
        <v>43</v>
      </c>
      <c r="E47">
        <v>43</v>
      </c>
      <c r="F47">
        <v>44</v>
      </c>
      <c r="G47">
        <v>44</v>
      </c>
      <c r="H47">
        <v>42</v>
      </c>
      <c r="I47">
        <v>44</v>
      </c>
      <c r="J47">
        <v>54</v>
      </c>
      <c r="K47">
        <v>48</v>
      </c>
      <c r="L47">
        <v>48</v>
      </c>
      <c r="M47">
        <v>47</v>
      </c>
      <c r="N47">
        <v>46</v>
      </c>
      <c r="O47">
        <v>47</v>
      </c>
      <c r="P47" s="5">
        <f t="shared" si="19"/>
        <v>0.83666002653407556</v>
      </c>
      <c r="Q47">
        <f t="shared" si="21"/>
        <v>43</v>
      </c>
      <c r="R47" s="2">
        <f t="shared" si="22"/>
        <v>54</v>
      </c>
      <c r="S47" s="27">
        <f t="shared" si="20"/>
        <v>25.581395348837209</v>
      </c>
    </row>
    <row r="48" spans="1:66" x14ac:dyDescent="0.25">
      <c r="A48" s="68"/>
      <c r="B48" s="3" t="s">
        <v>100</v>
      </c>
      <c r="C48" s="21" t="s">
        <v>137</v>
      </c>
      <c r="D48">
        <v>54</v>
      </c>
      <c r="E48">
        <v>57</v>
      </c>
      <c r="F48">
        <v>55</v>
      </c>
      <c r="G48">
        <v>57</v>
      </c>
      <c r="H48">
        <v>56</v>
      </c>
      <c r="I48">
        <v>52</v>
      </c>
      <c r="J48">
        <v>56</v>
      </c>
      <c r="K48">
        <v>56</v>
      </c>
      <c r="L48">
        <v>54</v>
      </c>
      <c r="M48">
        <v>55</v>
      </c>
      <c r="N48">
        <v>53</v>
      </c>
      <c r="O48">
        <v>53</v>
      </c>
      <c r="P48" s="5">
        <f t="shared" si="19"/>
        <v>1.3038404810405297</v>
      </c>
      <c r="Q48">
        <f t="shared" si="21"/>
        <v>56</v>
      </c>
      <c r="R48" s="2">
        <f t="shared" si="22"/>
        <v>56</v>
      </c>
      <c r="S48" s="27">
        <f t="shared" si="20"/>
        <v>0</v>
      </c>
    </row>
    <row r="49" spans="1:66" x14ac:dyDescent="0.25">
      <c r="A49" s="68"/>
      <c r="B49" s="3" t="s">
        <v>100</v>
      </c>
      <c r="C49" s="21" t="s">
        <v>138</v>
      </c>
      <c r="D49">
        <v>53</v>
      </c>
      <c r="E49">
        <v>58</v>
      </c>
      <c r="F49">
        <v>66</v>
      </c>
      <c r="G49">
        <v>64</v>
      </c>
      <c r="H49">
        <v>63</v>
      </c>
      <c r="I49">
        <v>47</v>
      </c>
      <c r="J49">
        <v>62</v>
      </c>
      <c r="K49">
        <v>65</v>
      </c>
      <c r="L49">
        <v>65</v>
      </c>
      <c r="M49">
        <v>65</v>
      </c>
      <c r="N49">
        <v>66</v>
      </c>
      <c r="O49">
        <v>61</v>
      </c>
      <c r="P49" s="5">
        <f t="shared" si="19"/>
        <v>5.2630789467763073</v>
      </c>
      <c r="Q49">
        <f t="shared" si="21"/>
        <v>63</v>
      </c>
      <c r="R49" s="2">
        <f t="shared" si="22"/>
        <v>66</v>
      </c>
      <c r="S49" s="27">
        <f t="shared" si="20"/>
        <v>4.7619047619047619</v>
      </c>
    </row>
    <row r="50" spans="1:66" x14ac:dyDescent="0.25">
      <c r="A50" s="68"/>
      <c r="B50" s="3" t="s">
        <v>100</v>
      </c>
      <c r="C50" s="21" t="s">
        <v>139</v>
      </c>
      <c r="D50">
        <v>55</v>
      </c>
      <c r="E50">
        <v>56</v>
      </c>
      <c r="F50">
        <v>63</v>
      </c>
      <c r="G50">
        <v>64</v>
      </c>
      <c r="H50">
        <v>64</v>
      </c>
      <c r="I50">
        <v>46</v>
      </c>
      <c r="J50">
        <v>60</v>
      </c>
      <c r="K50">
        <v>59</v>
      </c>
      <c r="L50">
        <v>59</v>
      </c>
      <c r="M50">
        <v>53</v>
      </c>
      <c r="N50">
        <v>52</v>
      </c>
      <c r="O50">
        <v>51</v>
      </c>
      <c r="P50" s="5">
        <f t="shared" si="19"/>
        <v>4.5055521304275237</v>
      </c>
      <c r="Q50">
        <f t="shared" si="21"/>
        <v>63</v>
      </c>
      <c r="R50" s="2">
        <f t="shared" si="22"/>
        <v>60</v>
      </c>
      <c r="S50" s="27">
        <f t="shared" si="20"/>
        <v>-4.7619047619047619</v>
      </c>
      <c r="T50">
        <v>52</v>
      </c>
      <c r="U50">
        <v>52</v>
      </c>
      <c r="V50">
        <v>58</v>
      </c>
      <c r="W50">
        <v>56</v>
      </c>
      <c r="X50">
        <v>59</v>
      </c>
      <c r="Y50">
        <v>44</v>
      </c>
      <c r="Z50">
        <v>62</v>
      </c>
      <c r="AA50">
        <v>60</v>
      </c>
      <c r="AB50">
        <v>61</v>
      </c>
      <c r="AC50">
        <v>61</v>
      </c>
      <c r="AD50">
        <v>60</v>
      </c>
      <c r="AE50">
        <v>60</v>
      </c>
      <c r="AI50">
        <v>48</v>
      </c>
      <c r="AJ50">
        <v>51</v>
      </c>
      <c r="AK50">
        <v>54</v>
      </c>
      <c r="AL50">
        <v>58</v>
      </c>
      <c r="AM50">
        <v>56</v>
      </c>
      <c r="AN50">
        <v>46</v>
      </c>
      <c r="AO50">
        <v>63</v>
      </c>
      <c r="AP50">
        <v>63</v>
      </c>
      <c r="AQ50">
        <v>62</v>
      </c>
      <c r="AR50">
        <v>60</v>
      </c>
      <c r="AS50">
        <v>57</v>
      </c>
      <c r="AT50">
        <v>52</v>
      </c>
      <c r="AX50">
        <v>51</v>
      </c>
      <c r="AY50">
        <v>47</v>
      </c>
      <c r="AZ50">
        <v>51</v>
      </c>
      <c r="BA50">
        <v>51</v>
      </c>
      <c r="BB50">
        <v>53</v>
      </c>
      <c r="BC50">
        <v>49</v>
      </c>
      <c r="BD50">
        <v>61</v>
      </c>
      <c r="BE50">
        <v>62</v>
      </c>
      <c r="BF50">
        <v>57</v>
      </c>
      <c r="BG50">
        <v>56</v>
      </c>
      <c r="BH50">
        <v>56</v>
      </c>
      <c r="BI50">
        <v>54</v>
      </c>
    </row>
    <row r="51" spans="1:66" x14ac:dyDescent="0.25">
      <c r="A51" s="68"/>
      <c r="B51" s="3"/>
      <c r="C51" s="21"/>
      <c r="P51" s="31" t="s">
        <v>110</v>
      </c>
      <c r="Q51" s="30">
        <f>AVERAGE(Q41:Q50)</f>
        <v>51.75</v>
      </c>
      <c r="R51" s="30">
        <f>AVERAGE(R42:R50)</f>
        <v>58.222222222222221</v>
      </c>
      <c r="S51" s="29">
        <f>AVERAGE(S40:S50)</f>
        <v>15.645339521451177</v>
      </c>
    </row>
    <row r="52" spans="1:66" x14ac:dyDescent="0.25">
      <c r="A52" s="68"/>
      <c r="B52" s="3"/>
      <c r="P52" s="31" t="s">
        <v>111</v>
      </c>
      <c r="Q52" s="29">
        <f>STDEVA(Q41:Q50)</f>
        <v>7.6130370637041649</v>
      </c>
      <c r="R52" s="29">
        <f>STDEVA(R42:R50)</f>
        <v>3.8658045015810671</v>
      </c>
      <c r="S52" s="29">
        <f>STDEVA(S40:S50)</f>
        <v>12.636274373924191</v>
      </c>
    </row>
    <row r="53" spans="1:66" ht="16.5" thickBot="1" x14ac:dyDescent="0.3">
      <c r="A53" s="68"/>
      <c r="B53" s="3"/>
      <c r="P53" s="31" t="s">
        <v>112</v>
      </c>
      <c r="Q53" s="32">
        <f>Q52/Q51</f>
        <v>0.14711182731795489</v>
      </c>
      <c r="R53" s="32">
        <f>R52/R51</f>
        <v>6.6397405561506875E-2</v>
      </c>
      <c r="S53" s="32">
        <f>S52/S51</f>
        <v>0.80767019191873179</v>
      </c>
    </row>
    <row r="54" spans="1:66" x14ac:dyDescent="0.25">
      <c r="A54" s="4"/>
      <c r="B54" s="3"/>
      <c r="N54" s="9"/>
      <c r="O54" s="8" t="s">
        <v>113</v>
      </c>
      <c r="P54" s="10">
        <v>5</v>
      </c>
      <c r="Q54" s="15" t="s">
        <v>114</v>
      </c>
      <c r="R54" s="16"/>
      <c r="S54" s="16"/>
      <c r="T54" s="16"/>
      <c r="U54" s="17"/>
      <c r="AC54" s="9"/>
      <c r="AD54" s="9"/>
      <c r="AE54" s="8" t="s">
        <v>113</v>
      </c>
      <c r="AF54" s="10">
        <v>5</v>
      </c>
      <c r="AG54" s="15" t="s">
        <v>114</v>
      </c>
      <c r="AH54" s="16"/>
      <c r="AI54" s="11"/>
      <c r="AJ54" s="12"/>
      <c r="AR54" s="9"/>
      <c r="AS54" s="9"/>
      <c r="AT54" s="8" t="s">
        <v>113</v>
      </c>
      <c r="AU54" s="10">
        <v>5</v>
      </c>
      <c r="AV54" s="15" t="s">
        <v>114</v>
      </c>
      <c r="AW54" s="16"/>
      <c r="AX54" s="11"/>
      <c r="AY54" s="12"/>
      <c r="BG54" s="9"/>
      <c r="BH54" s="9"/>
      <c r="BI54" s="8" t="s">
        <v>113</v>
      </c>
      <c r="BJ54" s="10">
        <v>5</v>
      </c>
      <c r="BK54" s="15" t="s">
        <v>114</v>
      </c>
      <c r="BL54" s="16"/>
      <c r="BM54" s="11"/>
      <c r="BN54" s="12"/>
    </row>
    <row r="55" spans="1:66" ht="16.5" thickBot="1" x14ac:dyDescent="0.3">
      <c r="A55" s="4"/>
      <c r="B55" s="3"/>
      <c r="N55" s="9"/>
      <c r="O55" s="8" t="s">
        <v>115</v>
      </c>
      <c r="P55" s="10">
        <v>11</v>
      </c>
      <c r="Q55" s="18" t="s">
        <v>114</v>
      </c>
      <c r="R55" s="54"/>
      <c r="S55" s="13"/>
      <c r="T55" s="13"/>
      <c r="U55" s="14"/>
      <c r="AC55" s="9"/>
      <c r="AD55" s="9"/>
      <c r="AE55" s="8" t="s">
        <v>115</v>
      </c>
      <c r="AF55" s="10">
        <v>10</v>
      </c>
      <c r="AG55" s="18" t="s">
        <v>114</v>
      </c>
      <c r="AH55" s="13"/>
      <c r="AI55" s="13"/>
      <c r="AJ55" s="14"/>
      <c r="AR55" s="9"/>
      <c r="AS55" s="9"/>
      <c r="AT55" s="8" t="s">
        <v>115</v>
      </c>
      <c r="AU55" s="10">
        <v>10</v>
      </c>
      <c r="AV55" s="18" t="s">
        <v>114</v>
      </c>
      <c r="AW55" s="13"/>
      <c r="AX55" s="13"/>
      <c r="AY55" s="14"/>
      <c r="BG55" s="9"/>
      <c r="BH55" s="9"/>
      <c r="BI55" s="8" t="s">
        <v>115</v>
      </c>
      <c r="BJ55" s="10">
        <v>10</v>
      </c>
      <c r="BK55" s="18" t="s">
        <v>114</v>
      </c>
      <c r="BL55" s="13"/>
      <c r="BM55" s="13"/>
      <c r="BN55" s="14"/>
    </row>
    <row r="56" spans="1:66" x14ac:dyDescent="0.25">
      <c r="A56" s="4"/>
      <c r="B56" s="3"/>
      <c r="O56" s="2" t="s">
        <v>116</v>
      </c>
      <c r="P56" s="5">
        <f>SQRT(AVERAGE(P40:P53))</f>
        <v>1.6149298109748758</v>
      </c>
      <c r="AE56" s="2" t="s">
        <v>116</v>
      </c>
      <c r="AF56" s="5" t="e">
        <f>SQRT(AVERAGE(AF40:AF53))</f>
        <v>#DIV/0!</v>
      </c>
      <c r="AT56" s="2" t="s">
        <v>116</v>
      </c>
      <c r="AU56" s="5" t="e">
        <f>SQRT(AVERAGE(AU40:AU53))</f>
        <v>#DIV/0!</v>
      </c>
      <c r="BI56" s="2" t="s">
        <v>116</v>
      </c>
      <c r="BJ56" s="5" t="e">
        <f>SQRT(AVERAGE(BJ40:BJ53))</f>
        <v>#DIV/0!</v>
      </c>
    </row>
    <row r="57" spans="1:66" x14ac:dyDescent="0.25">
      <c r="A57" s="4"/>
      <c r="B57" s="3"/>
      <c r="O57" s="2" t="s">
        <v>117</v>
      </c>
      <c r="P57" s="5">
        <f>2.77*P56</f>
        <v>4.4733555764004063</v>
      </c>
      <c r="AE57" s="2" t="s">
        <v>117</v>
      </c>
      <c r="AF57" s="5" t="e">
        <f>2.77*AF56</f>
        <v>#DIV/0!</v>
      </c>
      <c r="AT57" s="2" t="s">
        <v>117</v>
      </c>
      <c r="AU57" s="5" t="e">
        <f>2.77*AU56</f>
        <v>#DIV/0!</v>
      </c>
      <c r="BI57" s="2" t="s">
        <v>117</v>
      </c>
      <c r="BJ57" s="5" t="e">
        <f>2.77*BJ56</f>
        <v>#DIV/0!</v>
      </c>
    </row>
    <row r="58" spans="1:66" x14ac:dyDescent="0.25">
      <c r="A58" s="4"/>
      <c r="B58" s="3"/>
      <c r="O58" s="2" t="s">
        <v>118</v>
      </c>
      <c r="P58" s="5">
        <f>P57-(1.96*(P56/(SQRT(2*P55*(P54-1)))))</f>
        <v>4.1359374676878096</v>
      </c>
      <c r="AE58" s="2" t="s">
        <v>118</v>
      </c>
      <c r="AF58" s="5" t="e">
        <f>AF57-(1.96*(AF56/(SQRT(2*AF55*(AF54-1)))))</f>
        <v>#DIV/0!</v>
      </c>
      <c r="AT58" s="2" t="s">
        <v>118</v>
      </c>
      <c r="AU58" s="5" t="e">
        <f>AU57-(1.96*(AU56/(SQRT(2*AU55*(AU54-1)))))</f>
        <v>#DIV/0!</v>
      </c>
      <c r="BI58" s="2" t="s">
        <v>118</v>
      </c>
      <c r="BJ58" s="5" t="e">
        <f>BJ57-(1.96*(BJ56/(SQRT(2*BJ55*(BJ54-1)))))</f>
        <v>#DIV/0!</v>
      </c>
    </row>
    <row r="59" spans="1:66" x14ac:dyDescent="0.25">
      <c r="A59" s="4"/>
      <c r="B59" s="3"/>
      <c r="O59" s="2" t="s">
        <v>119</v>
      </c>
      <c r="P59" s="5">
        <f>P57+(1.96*(P56/(SQRT(2*P55*(P54-1)))))</f>
        <v>4.810773685113003</v>
      </c>
      <c r="AE59" s="2" t="s">
        <v>119</v>
      </c>
      <c r="AF59" s="5" t="e">
        <f>AF57+(1.96*(AF56/(SQRT(2*AF55*(AF54-1)))))</f>
        <v>#DIV/0!</v>
      </c>
      <c r="AT59" s="2" t="s">
        <v>119</v>
      </c>
      <c r="AU59" s="5" t="e">
        <f>AU57+(1.96*(AU56/(SQRT(2*AU55*(AU54-1)))))</f>
        <v>#DIV/0!</v>
      </c>
      <c r="BI59" s="2" t="s">
        <v>119</v>
      </c>
      <c r="BJ59" s="5" t="e">
        <f>BJ57+(1.96*(BJ56/(SQRT(2*BJ55*(BJ54-1)))))</f>
        <v>#DIV/0!</v>
      </c>
    </row>
    <row r="60" spans="1:66" s="58" customFormat="1" x14ac:dyDescent="0.25">
      <c r="A60" s="56"/>
      <c r="B60" s="57"/>
      <c r="O60" s="59"/>
      <c r="P60" s="60"/>
      <c r="AE60" s="59"/>
      <c r="AF60" s="60"/>
      <c r="AT60" s="59"/>
      <c r="AU60" s="60"/>
      <c r="BI60" s="59"/>
      <c r="BJ60" s="60"/>
    </row>
    <row r="61" spans="1:66" x14ac:dyDescent="0.25">
      <c r="A61" s="73" t="s">
        <v>140</v>
      </c>
      <c r="B61" s="3" t="s">
        <v>100</v>
      </c>
      <c r="C61" s="21" t="s">
        <v>141</v>
      </c>
      <c r="D61">
        <v>68</v>
      </c>
      <c r="E61">
        <v>65</v>
      </c>
      <c r="F61">
        <v>70</v>
      </c>
      <c r="G61">
        <v>66</v>
      </c>
      <c r="H61">
        <v>68</v>
      </c>
      <c r="I61">
        <v>66</v>
      </c>
      <c r="J61">
        <v>76</v>
      </c>
      <c r="K61">
        <v>78</v>
      </c>
      <c r="L61">
        <v>82</v>
      </c>
      <c r="M61">
        <v>83</v>
      </c>
      <c r="P61" s="5">
        <f t="shared" ref="P61:P66" si="23">IFERROR(STDEVA(D61:H61),#N/A)</f>
        <v>1.9493588689617927</v>
      </c>
      <c r="Q61">
        <f>MEDIAN(D61:H61)</f>
        <v>68</v>
      </c>
      <c r="R61" s="2">
        <f>MAX(J61:O61)</f>
        <v>83</v>
      </c>
      <c r="S61" s="27">
        <f t="shared" ref="S61:S66" si="24">100*(R61-Q61)/Q61</f>
        <v>22.058823529411764</v>
      </c>
    </row>
    <row r="62" spans="1:66" x14ac:dyDescent="0.25">
      <c r="A62" s="73"/>
      <c r="B62" s="3" t="s">
        <v>100</v>
      </c>
      <c r="C62" s="21" t="s">
        <v>142</v>
      </c>
      <c r="D62">
        <v>67</v>
      </c>
      <c r="E62">
        <v>71</v>
      </c>
      <c r="F62">
        <v>63</v>
      </c>
      <c r="G62">
        <v>60</v>
      </c>
      <c r="H62">
        <v>61</v>
      </c>
      <c r="I62">
        <v>55</v>
      </c>
      <c r="J62">
        <v>75</v>
      </c>
      <c r="K62">
        <v>77</v>
      </c>
      <c r="L62">
        <v>80</v>
      </c>
      <c r="M62">
        <v>80</v>
      </c>
      <c r="P62" s="5">
        <f t="shared" si="23"/>
        <v>4.5607017003965513</v>
      </c>
      <c r="Q62">
        <f t="shared" ref="Q62:Q66" si="25">MEDIAN(D62:H62)</f>
        <v>63</v>
      </c>
      <c r="R62" s="2">
        <f t="shared" ref="R62:R66" si="26">MAX(J62:O62)</f>
        <v>80</v>
      </c>
      <c r="S62" s="27">
        <f t="shared" si="24"/>
        <v>26.984126984126984</v>
      </c>
    </row>
    <row r="63" spans="1:66" x14ac:dyDescent="0.25">
      <c r="A63" s="73"/>
      <c r="B63" s="3" t="s">
        <v>100</v>
      </c>
      <c r="C63" s="21" t="s">
        <v>143</v>
      </c>
      <c r="D63">
        <v>67</v>
      </c>
      <c r="E63">
        <v>69</v>
      </c>
      <c r="F63">
        <v>70</v>
      </c>
      <c r="G63">
        <v>70</v>
      </c>
      <c r="H63">
        <v>70</v>
      </c>
      <c r="I63">
        <v>36</v>
      </c>
      <c r="J63">
        <v>75</v>
      </c>
      <c r="K63">
        <v>75</v>
      </c>
      <c r="L63">
        <v>73</v>
      </c>
      <c r="M63">
        <v>67</v>
      </c>
      <c r="P63" s="5">
        <f t="shared" si="23"/>
        <v>1.3038404810405297</v>
      </c>
      <c r="Q63">
        <f t="shared" si="25"/>
        <v>70</v>
      </c>
      <c r="R63" s="2">
        <f t="shared" si="26"/>
        <v>75</v>
      </c>
      <c r="S63" s="27">
        <f t="shared" si="24"/>
        <v>7.1428571428571432</v>
      </c>
    </row>
    <row r="64" spans="1:66" x14ac:dyDescent="0.25">
      <c r="A64" s="73"/>
      <c r="B64" s="3" t="s">
        <v>100</v>
      </c>
      <c r="C64" s="21" t="s">
        <v>144</v>
      </c>
      <c r="D64">
        <v>58</v>
      </c>
      <c r="E64">
        <v>55</v>
      </c>
      <c r="F64">
        <v>55</v>
      </c>
      <c r="G64">
        <v>51</v>
      </c>
      <c r="H64">
        <v>44</v>
      </c>
      <c r="I64">
        <v>61</v>
      </c>
      <c r="J64">
        <v>58</v>
      </c>
      <c r="K64">
        <v>54</v>
      </c>
      <c r="L64">
        <v>51</v>
      </c>
      <c r="M64">
        <v>52</v>
      </c>
      <c r="N64">
        <v>51</v>
      </c>
      <c r="P64" s="5">
        <f t="shared" si="23"/>
        <v>5.4129474410897434</v>
      </c>
      <c r="Q64">
        <f t="shared" si="25"/>
        <v>55</v>
      </c>
      <c r="R64" s="2">
        <f t="shared" si="26"/>
        <v>58</v>
      </c>
      <c r="S64" s="27">
        <f t="shared" si="24"/>
        <v>5.4545454545454541</v>
      </c>
    </row>
    <row r="65" spans="1:66" x14ac:dyDescent="0.25">
      <c r="A65" s="73"/>
      <c r="B65" s="3" t="s">
        <v>100</v>
      </c>
      <c r="C65" s="21" t="s">
        <v>145</v>
      </c>
      <c r="D65">
        <v>43</v>
      </c>
      <c r="E65">
        <v>42</v>
      </c>
      <c r="F65">
        <v>44</v>
      </c>
      <c r="G65">
        <v>43</v>
      </c>
      <c r="H65">
        <v>41</v>
      </c>
      <c r="I65">
        <v>50</v>
      </c>
      <c r="J65">
        <v>51</v>
      </c>
      <c r="K65">
        <v>57</v>
      </c>
      <c r="L65">
        <v>55</v>
      </c>
      <c r="M65">
        <v>51</v>
      </c>
      <c r="N65">
        <v>47</v>
      </c>
      <c r="O65">
        <v>39</v>
      </c>
      <c r="P65" s="5">
        <f t="shared" si="23"/>
        <v>1.1401754250991378</v>
      </c>
      <c r="Q65">
        <f t="shared" si="25"/>
        <v>43</v>
      </c>
      <c r="R65" s="2">
        <f t="shared" si="26"/>
        <v>57</v>
      </c>
      <c r="S65" s="27">
        <f t="shared" si="24"/>
        <v>32.558139534883722</v>
      </c>
      <c r="T65">
        <v>42</v>
      </c>
      <c r="U65">
        <v>43</v>
      </c>
      <c r="V65">
        <v>45</v>
      </c>
      <c r="W65">
        <v>42</v>
      </c>
      <c r="X65">
        <v>42</v>
      </c>
      <c r="Y65">
        <v>48</v>
      </c>
      <c r="Z65">
        <v>53</v>
      </c>
      <c r="AA65">
        <v>50</v>
      </c>
      <c r="AB65">
        <v>51</v>
      </c>
      <c r="AC65">
        <v>46</v>
      </c>
      <c r="AD65">
        <v>46</v>
      </c>
      <c r="AE65">
        <v>46</v>
      </c>
      <c r="AI65">
        <v>59</v>
      </c>
      <c r="AJ65">
        <v>51</v>
      </c>
      <c r="AK65">
        <v>49</v>
      </c>
      <c r="AL65">
        <v>49</v>
      </c>
      <c r="AM65">
        <v>47</v>
      </c>
      <c r="AN65">
        <v>54</v>
      </c>
      <c r="AO65">
        <v>63</v>
      </c>
      <c r="AP65">
        <v>62</v>
      </c>
      <c r="AQ65">
        <v>66</v>
      </c>
      <c r="AR65">
        <v>58</v>
      </c>
      <c r="AS65">
        <v>57</v>
      </c>
      <c r="AT65">
        <v>50</v>
      </c>
      <c r="AX65">
        <v>46</v>
      </c>
      <c r="AY65">
        <v>47</v>
      </c>
      <c r="AZ65">
        <v>51</v>
      </c>
      <c r="BA65">
        <v>56</v>
      </c>
      <c r="BB65">
        <v>53</v>
      </c>
      <c r="BC65">
        <v>49</v>
      </c>
      <c r="BD65">
        <v>57</v>
      </c>
      <c r="BE65">
        <v>62</v>
      </c>
      <c r="BF65">
        <v>61</v>
      </c>
      <c r="BG65">
        <v>60</v>
      </c>
      <c r="BH65">
        <v>56</v>
      </c>
      <c r="BI65">
        <v>55</v>
      </c>
    </row>
    <row r="66" spans="1:66" x14ac:dyDescent="0.25">
      <c r="A66" s="73"/>
      <c r="B66" s="3" t="s">
        <v>100</v>
      </c>
      <c r="C66" s="21" t="s">
        <v>146</v>
      </c>
      <c r="D66">
        <v>50</v>
      </c>
      <c r="E66">
        <v>52</v>
      </c>
      <c r="F66">
        <v>50</v>
      </c>
      <c r="G66">
        <v>49</v>
      </c>
      <c r="H66">
        <v>50</v>
      </c>
      <c r="I66">
        <v>42</v>
      </c>
      <c r="J66">
        <v>55</v>
      </c>
      <c r="K66">
        <v>52</v>
      </c>
      <c r="L66">
        <v>47</v>
      </c>
      <c r="M66">
        <v>50</v>
      </c>
      <c r="N66">
        <v>50</v>
      </c>
      <c r="O66">
        <v>50</v>
      </c>
      <c r="P66" s="5">
        <f t="shared" si="23"/>
        <v>1.0954451150103321</v>
      </c>
      <c r="Q66">
        <f t="shared" si="25"/>
        <v>50</v>
      </c>
      <c r="R66" s="2">
        <f t="shared" si="26"/>
        <v>55</v>
      </c>
      <c r="S66" s="27">
        <f t="shared" si="24"/>
        <v>10</v>
      </c>
    </row>
    <row r="67" spans="1:66" x14ac:dyDescent="0.25">
      <c r="A67" s="73"/>
      <c r="B67" s="3" t="s">
        <v>100</v>
      </c>
      <c r="C67" s="21" t="s">
        <v>147</v>
      </c>
      <c r="D67">
        <v>47</v>
      </c>
      <c r="E67">
        <v>43</v>
      </c>
      <c r="F67">
        <v>44</v>
      </c>
      <c r="G67">
        <v>48</v>
      </c>
      <c r="H67">
        <v>50</v>
      </c>
      <c r="I67">
        <v>46</v>
      </c>
      <c r="J67">
        <v>56</v>
      </c>
      <c r="K67">
        <v>57</v>
      </c>
      <c r="L67">
        <v>51</v>
      </c>
      <c r="M67">
        <v>55</v>
      </c>
      <c r="N67">
        <v>53</v>
      </c>
      <c r="O67">
        <v>54</v>
      </c>
      <c r="P67" s="5">
        <f t="shared" ref="P67:P70" si="27">IFERROR(STDEVA(D67:H67),#N/A)</f>
        <v>2.8809720581775866</v>
      </c>
      <c r="Q67">
        <f>MEDIAN(D67:H67)</f>
        <v>47</v>
      </c>
      <c r="R67" s="2">
        <f>MAX(J67:O67)</f>
        <v>57</v>
      </c>
      <c r="S67" s="27">
        <f t="shared" ref="S67:S70" si="28">100*(R67-Q67)/Q67</f>
        <v>21.276595744680851</v>
      </c>
    </row>
    <row r="68" spans="1:66" x14ac:dyDescent="0.25">
      <c r="A68" s="73"/>
      <c r="B68" s="3" t="s">
        <v>100</v>
      </c>
      <c r="C68" s="21" t="s">
        <v>148</v>
      </c>
      <c r="D68">
        <v>42</v>
      </c>
      <c r="E68">
        <v>54</v>
      </c>
      <c r="F68">
        <v>58</v>
      </c>
      <c r="G68">
        <v>65</v>
      </c>
      <c r="H68">
        <v>59</v>
      </c>
      <c r="I68">
        <v>43</v>
      </c>
      <c r="J68">
        <v>62</v>
      </c>
      <c r="K68">
        <v>66</v>
      </c>
      <c r="L68">
        <v>61</v>
      </c>
      <c r="M68">
        <v>57</v>
      </c>
      <c r="N68">
        <v>56</v>
      </c>
      <c r="O68">
        <v>54</v>
      </c>
      <c r="P68" s="5">
        <f t="shared" si="27"/>
        <v>8.5615419172016072</v>
      </c>
      <c r="Q68">
        <f t="shared" ref="Q68:Q70" si="29">MEDIAN(D68:H68)</f>
        <v>58</v>
      </c>
      <c r="R68" s="2">
        <f t="shared" ref="R68:R70" si="30">MAX(J68:O68)</f>
        <v>66</v>
      </c>
      <c r="S68" s="27">
        <f t="shared" si="28"/>
        <v>13.793103448275861</v>
      </c>
      <c r="T68">
        <v>46</v>
      </c>
      <c r="U68">
        <v>51</v>
      </c>
      <c r="V68">
        <v>48</v>
      </c>
      <c r="W68">
        <v>50</v>
      </c>
      <c r="X68">
        <v>49</v>
      </c>
      <c r="Y68">
        <v>45</v>
      </c>
      <c r="Z68">
        <v>61</v>
      </c>
      <c r="AA68">
        <v>58</v>
      </c>
      <c r="AB68">
        <v>60</v>
      </c>
      <c r="AC68">
        <v>58</v>
      </c>
      <c r="AD68">
        <v>56</v>
      </c>
      <c r="AE68">
        <v>55</v>
      </c>
      <c r="AI68">
        <v>49</v>
      </c>
      <c r="AJ68">
        <v>49</v>
      </c>
      <c r="AK68">
        <v>50</v>
      </c>
      <c r="AL68">
        <v>51</v>
      </c>
      <c r="AM68">
        <v>52</v>
      </c>
      <c r="AN68">
        <v>47</v>
      </c>
      <c r="AO68">
        <v>60</v>
      </c>
      <c r="AP68">
        <v>59</v>
      </c>
      <c r="AQ68">
        <v>58</v>
      </c>
      <c r="AR68">
        <v>59</v>
      </c>
      <c r="AS68">
        <v>59</v>
      </c>
      <c r="AT68">
        <v>57</v>
      </c>
      <c r="AX68">
        <v>59</v>
      </c>
      <c r="AY68">
        <v>57</v>
      </c>
      <c r="AZ68">
        <v>46</v>
      </c>
      <c r="BA68">
        <v>49</v>
      </c>
      <c r="BB68">
        <v>49</v>
      </c>
      <c r="BC68">
        <v>47</v>
      </c>
      <c r="BD68">
        <v>58</v>
      </c>
      <c r="BE68">
        <v>58</v>
      </c>
      <c r="BF68">
        <v>55</v>
      </c>
      <c r="BG68">
        <v>49</v>
      </c>
      <c r="BH68">
        <v>49</v>
      </c>
      <c r="BI68">
        <v>50</v>
      </c>
    </row>
    <row r="69" spans="1:66" x14ac:dyDescent="0.25">
      <c r="A69" s="73"/>
      <c r="B69" s="3" t="s">
        <v>100</v>
      </c>
      <c r="C69" s="21" t="s">
        <v>149</v>
      </c>
      <c r="D69">
        <v>53</v>
      </c>
      <c r="E69">
        <v>54</v>
      </c>
      <c r="F69">
        <v>55</v>
      </c>
      <c r="G69">
        <v>51</v>
      </c>
      <c r="H69">
        <v>51</v>
      </c>
      <c r="I69">
        <v>44</v>
      </c>
      <c r="J69">
        <v>60</v>
      </c>
      <c r="K69">
        <v>61</v>
      </c>
      <c r="L69">
        <v>60</v>
      </c>
      <c r="M69">
        <v>59</v>
      </c>
      <c r="N69">
        <v>56</v>
      </c>
      <c r="O69">
        <v>53</v>
      </c>
      <c r="P69" s="5">
        <f t="shared" si="27"/>
        <v>1.7888543819998317</v>
      </c>
      <c r="Q69">
        <f t="shared" si="29"/>
        <v>53</v>
      </c>
      <c r="R69" s="2">
        <f t="shared" si="30"/>
        <v>61</v>
      </c>
      <c r="S69" s="27">
        <f t="shared" si="28"/>
        <v>15.09433962264151</v>
      </c>
      <c r="T69">
        <v>52</v>
      </c>
      <c r="U69">
        <v>54</v>
      </c>
      <c r="V69">
        <v>56</v>
      </c>
      <c r="W69">
        <v>54</v>
      </c>
      <c r="X69">
        <v>56</v>
      </c>
      <c r="Y69">
        <v>44</v>
      </c>
      <c r="Z69">
        <v>59</v>
      </c>
      <c r="AA69">
        <v>61</v>
      </c>
      <c r="AB69">
        <v>56</v>
      </c>
      <c r="AC69">
        <v>54</v>
      </c>
      <c r="AD69">
        <v>56</v>
      </c>
      <c r="AE69">
        <v>51</v>
      </c>
    </row>
    <row r="70" spans="1:66" x14ac:dyDescent="0.25">
      <c r="A70" s="73"/>
      <c r="B70" s="3" t="s">
        <v>100</v>
      </c>
      <c r="C70" s="21" t="s">
        <v>150</v>
      </c>
      <c r="E70">
        <v>50</v>
      </c>
      <c r="F70">
        <v>48</v>
      </c>
      <c r="G70">
        <v>47</v>
      </c>
      <c r="H70">
        <v>49</v>
      </c>
      <c r="I70">
        <v>42</v>
      </c>
      <c r="J70">
        <v>51</v>
      </c>
      <c r="K70">
        <v>47</v>
      </c>
      <c r="L70">
        <v>47</v>
      </c>
      <c r="M70">
        <v>44</v>
      </c>
      <c r="N70">
        <v>46</v>
      </c>
      <c r="O70">
        <v>45</v>
      </c>
      <c r="P70" s="5">
        <f t="shared" si="27"/>
        <v>1.2909944487358056</v>
      </c>
      <c r="Q70">
        <f t="shared" si="29"/>
        <v>48.5</v>
      </c>
      <c r="R70" s="2">
        <f t="shared" si="30"/>
        <v>51</v>
      </c>
      <c r="S70" s="27">
        <f t="shared" si="28"/>
        <v>5.1546391752577323</v>
      </c>
      <c r="T70">
        <v>44</v>
      </c>
      <c r="U70">
        <v>41</v>
      </c>
      <c r="V70">
        <v>43</v>
      </c>
      <c r="W70">
        <v>42</v>
      </c>
      <c r="X70">
        <v>41</v>
      </c>
      <c r="Y70">
        <v>44</v>
      </c>
      <c r="Z70">
        <v>45</v>
      </c>
      <c r="AA70">
        <v>47</v>
      </c>
      <c r="AB70">
        <v>43</v>
      </c>
      <c r="AC70">
        <v>43</v>
      </c>
      <c r="AD70">
        <v>43</v>
      </c>
      <c r="AE70">
        <v>43</v>
      </c>
      <c r="AI70">
        <v>45</v>
      </c>
      <c r="AJ70">
        <v>44</v>
      </c>
      <c r="AK70">
        <v>49</v>
      </c>
      <c r="AL70">
        <v>48</v>
      </c>
      <c r="AM70">
        <v>53</v>
      </c>
      <c r="AN70">
        <v>44</v>
      </c>
      <c r="AO70">
        <v>59</v>
      </c>
      <c r="AP70">
        <v>54</v>
      </c>
      <c r="AQ70">
        <v>51</v>
      </c>
      <c r="AR70">
        <v>50</v>
      </c>
      <c r="AS70">
        <v>48</v>
      </c>
      <c r="AT70">
        <v>45</v>
      </c>
      <c r="AX70">
        <v>41</v>
      </c>
      <c r="AY70">
        <v>43</v>
      </c>
      <c r="AZ70">
        <v>45</v>
      </c>
      <c r="BA70">
        <v>43</v>
      </c>
      <c r="BB70">
        <v>42</v>
      </c>
      <c r="BC70">
        <v>42</v>
      </c>
      <c r="BD70">
        <v>58</v>
      </c>
      <c r="BE70">
        <v>52</v>
      </c>
      <c r="BF70">
        <v>49</v>
      </c>
      <c r="BG70">
        <v>48</v>
      </c>
      <c r="BH70">
        <v>46</v>
      </c>
      <c r="BI70">
        <v>44</v>
      </c>
    </row>
    <row r="71" spans="1:66" x14ac:dyDescent="0.25">
      <c r="A71" s="73"/>
      <c r="B71" s="3"/>
      <c r="C71" s="21"/>
      <c r="P71" s="31" t="s">
        <v>110</v>
      </c>
      <c r="Q71" s="30">
        <f>AVERAGE(Q61:Q70)</f>
        <v>55.55</v>
      </c>
      <c r="R71" s="30">
        <f>AVERAGE(R62:R70)</f>
        <v>62.222222222222221</v>
      </c>
      <c r="S71" s="29">
        <f>AVERAGE(S61:S70)</f>
        <v>15.951717063668102</v>
      </c>
    </row>
    <row r="72" spans="1:66" x14ac:dyDescent="0.25">
      <c r="A72" s="73"/>
      <c r="B72" s="3"/>
      <c r="P72" s="31" t="s">
        <v>111</v>
      </c>
      <c r="Q72" s="29">
        <f>STDEVA(Q61:Q70)</f>
        <v>9.087384417727435</v>
      </c>
      <c r="R72" s="29">
        <f>STDEVA(R62:R70)</f>
        <v>9.6537269717163809</v>
      </c>
      <c r="S72" s="29">
        <f>STDEVA(S61:S70)</f>
        <v>9.4769872084616047</v>
      </c>
    </row>
    <row r="73" spans="1:66" ht="16.5" thickBot="1" x14ac:dyDescent="0.3">
      <c r="A73" s="73"/>
      <c r="B73" s="3"/>
      <c r="P73" s="31" t="s">
        <v>112</v>
      </c>
      <c r="Q73" s="32">
        <f>Q72/Q71</f>
        <v>0.16358927844693852</v>
      </c>
      <c r="R73" s="32">
        <f>R72/R71</f>
        <v>0.15514918347401327</v>
      </c>
      <c r="S73" s="32">
        <f>S72/S71</f>
        <v>0.5941045199482976</v>
      </c>
    </row>
    <row r="74" spans="1:66" x14ac:dyDescent="0.25">
      <c r="A74" s="4"/>
      <c r="B74" s="3"/>
      <c r="N74" s="9"/>
      <c r="O74" s="8" t="s">
        <v>113</v>
      </c>
      <c r="P74" s="10">
        <v>5</v>
      </c>
      <c r="Q74" s="15" t="s">
        <v>114</v>
      </c>
      <c r="R74" s="16"/>
      <c r="S74" s="16"/>
      <c r="T74" s="16"/>
      <c r="U74" s="17"/>
      <c r="AC74" s="9"/>
      <c r="AD74" s="9"/>
      <c r="AE74" s="8" t="s">
        <v>113</v>
      </c>
      <c r="AF74" s="10">
        <v>5</v>
      </c>
      <c r="AG74" s="15" t="s">
        <v>114</v>
      </c>
      <c r="AH74" s="16"/>
      <c r="AI74" s="11"/>
      <c r="AJ74" s="12"/>
      <c r="AR74" s="9"/>
      <c r="AS74" s="9"/>
      <c r="AT74" s="8" t="s">
        <v>113</v>
      </c>
      <c r="AU74" s="10">
        <v>5</v>
      </c>
      <c r="AV74" s="15" t="s">
        <v>114</v>
      </c>
      <c r="AW74" s="16"/>
      <c r="AX74" s="11"/>
      <c r="AY74" s="12"/>
      <c r="BG74" s="9"/>
      <c r="BH74" s="9"/>
      <c r="BI74" s="8" t="s">
        <v>113</v>
      </c>
      <c r="BJ74" s="10">
        <v>5</v>
      </c>
      <c r="BK74" s="15" t="s">
        <v>114</v>
      </c>
      <c r="BL74" s="16"/>
      <c r="BM74" s="11"/>
      <c r="BN74" s="12"/>
    </row>
    <row r="75" spans="1:66" ht="16.5" thickBot="1" x14ac:dyDescent="0.3">
      <c r="A75" s="4"/>
      <c r="B75" s="3"/>
      <c r="N75" s="9"/>
      <c r="O75" s="8" t="s">
        <v>115</v>
      </c>
      <c r="P75" s="10">
        <v>10</v>
      </c>
      <c r="Q75" s="18" t="s">
        <v>114</v>
      </c>
      <c r="R75" s="54"/>
      <c r="S75" s="13"/>
      <c r="T75" s="13"/>
      <c r="U75" s="14"/>
      <c r="AC75" s="9"/>
      <c r="AD75" s="9"/>
      <c r="AE75" s="8" t="s">
        <v>115</v>
      </c>
      <c r="AF75" s="10">
        <v>10</v>
      </c>
      <c r="AG75" s="18" t="s">
        <v>114</v>
      </c>
      <c r="AH75" s="13"/>
      <c r="AI75" s="13"/>
      <c r="AJ75" s="14"/>
      <c r="AR75" s="9"/>
      <c r="AS75" s="9"/>
      <c r="AT75" s="8" t="s">
        <v>115</v>
      </c>
      <c r="AU75" s="10">
        <v>10</v>
      </c>
      <c r="AV75" s="18" t="s">
        <v>114</v>
      </c>
      <c r="AW75" s="13"/>
      <c r="AX75" s="13"/>
      <c r="AY75" s="14"/>
      <c r="BG75" s="9"/>
      <c r="BH75" s="9"/>
      <c r="BI75" s="8" t="s">
        <v>115</v>
      </c>
      <c r="BJ75" s="10">
        <v>10</v>
      </c>
      <c r="BK75" s="18" t="s">
        <v>114</v>
      </c>
      <c r="BL75" s="13"/>
      <c r="BM75" s="13"/>
      <c r="BN75" s="14"/>
    </row>
    <row r="76" spans="1:66" x14ac:dyDescent="0.25">
      <c r="A76" s="4"/>
      <c r="B76" s="3"/>
      <c r="O76" s="2" t="s">
        <v>116</v>
      </c>
      <c r="P76" s="5">
        <f>SQRT(AVERAGE(P61:P73))</f>
        <v>1.7316128850789059</v>
      </c>
      <c r="AE76" s="2" t="s">
        <v>116</v>
      </c>
      <c r="AF76" s="5" t="e">
        <f>SQRT(AVERAGE(AF61:AF73))</f>
        <v>#DIV/0!</v>
      </c>
      <c r="AT76" s="2" t="s">
        <v>116</v>
      </c>
      <c r="AU76" s="5" t="e">
        <f>SQRT(AVERAGE(AU61:AU73))</f>
        <v>#DIV/0!</v>
      </c>
      <c r="BI76" s="2" t="s">
        <v>116</v>
      </c>
      <c r="BJ76" s="5" t="e">
        <f>SQRT(AVERAGE(BJ61:BJ73))</f>
        <v>#DIV/0!</v>
      </c>
    </row>
    <row r="77" spans="1:66" x14ac:dyDescent="0.25">
      <c r="A77" s="4"/>
      <c r="B77" s="3"/>
      <c r="O77" s="2" t="s">
        <v>117</v>
      </c>
      <c r="P77" s="5">
        <f>2.77*P76</f>
        <v>4.7965676916685691</v>
      </c>
      <c r="AE77" s="2" t="s">
        <v>117</v>
      </c>
      <c r="AF77" s="5" t="e">
        <f>2.77*AF76</f>
        <v>#DIV/0!</v>
      </c>
      <c r="AT77" s="2" t="s">
        <v>117</v>
      </c>
      <c r="AU77" s="5" t="e">
        <f>2.77*AU76</f>
        <v>#DIV/0!</v>
      </c>
      <c r="BI77" s="2" t="s">
        <v>117</v>
      </c>
      <c r="BJ77" s="5" t="e">
        <f>2.77*BJ76</f>
        <v>#DIV/0!</v>
      </c>
    </row>
    <row r="78" spans="1:66" x14ac:dyDescent="0.25">
      <c r="A78" s="4"/>
      <c r="B78" s="3"/>
      <c r="O78" s="2" t="s">
        <v>118</v>
      </c>
      <c r="P78" s="5">
        <f>P77-(1.96*(P76/(SQRT(2*P75*(P74-1)))))</f>
        <v>4.4171112877369749</v>
      </c>
      <c r="AE78" s="2" t="s">
        <v>118</v>
      </c>
      <c r="AF78" s="5" t="e">
        <f>AF77-(1.96*(AF76/(SQRT(2*AF75*(AF74-1)))))</f>
        <v>#DIV/0!</v>
      </c>
      <c r="AT78" s="2" t="s">
        <v>118</v>
      </c>
      <c r="AU78" s="5" t="e">
        <f>AU77-(1.96*(AU76/(SQRT(2*AU75*(AU74-1)))))</f>
        <v>#DIV/0!</v>
      </c>
      <c r="BI78" s="2" t="s">
        <v>118</v>
      </c>
      <c r="BJ78" s="5" t="e">
        <f>BJ77-(1.96*(BJ76/(SQRT(2*BJ75*(BJ74-1)))))</f>
        <v>#DIV/0!</v>
      </c>
    </row>
    <row r="79" spans="1:66" x14ac:dyDescent="0.25">
      <c r="A79" s="4"/>
      <c r="B79" s="3"/>
      <c r="O79" s="2" t="s">
        <v>119</v>
      </c>
      <c r="P79" s="5">
        <f>P77+(1.96*(P76/(SQRT(2*P75*(P74-1)))))</f>
        <v>5.1760240956001633</v>
      </c>
      <c r="AE79" s="2" t="s">
        <v>119</v>
      </c>
      <c r="AF79" s="5" t="e">
        <f>AF77+(1.96*(AF76/(SQRT(2*AF75*(AF74-1)))))</f>
        <v>#DIV/0!</v>
      </c>
      <c r="AT79" s="2" t="s">
        <v>119</v>
      </c>
      <c r="AU79" s="5" t="e">
        <f>AU77+(1.96*(AU76/(SQRT(2*AU75*(AU74-1)))))</f>
        <v>#DIV/0!</v>
      </c>
      <c r="BI79" s="2" t="s">
        <v>119</v>
      </c>
      <c r="BJ79" s="5" t="e">
        <f>BJ77+(1.96*(BJ76/(SQRT(2*BJ75*(BJ74-1)))))</f>
        <v>#DIV/0!</v>
      </c>
    </row>
    <row r="80" spans="1:66" s="58" customFormat="1" x14ac:dyDescent="0.25">
      <c r="A80" s="56"/>
      <c r="B80" s="57"/>
      <c r="O80" s="59"/>
      <c r="P80" s="60"/>
      <c r="AE80" s="59"/>
      <c r="AF80" s="60"/>
      <c r="AT80" s="59"/>
      <c r="AU80" s="60"/>
      <c r="BI80" s="59"/>
      <c r="BJ80" s="60"/>
    </row>
    <row r="81" spans="1:66" x14ac:dyDescent="0.25">
      <c r="A81" s="68" t="s">
        <v>151</v>
      </c>
      <c r="B81" s="3" t="s">
        <v>100</v>
      </c>
      <c r="C81" s="21" t="s">
        <v>152</v>
      </c>
      <c r="D81">
        <v>69</v>
      </c>
      <c r="E81">
        <v>74</v>
      </c>
      <c r="F81">
        <v>78</v>
      </c>
      <c r="G81">
        <v>77</v>
      </c>
      <c r="H81">
        <v>82</v>
      </c>
      <c r="I81">
        <v>57</v>
      </c>
      <c r="J81">
        <v>81</v>
      </c>
      <c r="K81">
        <v>86</v>
      </c>
      <c r="L81">
        <v>81</v>
      </c>
      <c r="M81">
        <v>82</v>
      </c>
      <c r="P81" s="5">
        <f t="shared" ref="P81:P85" si="31">IFERROR(STDEVA(D81:H81),#N/A)</f>
        <v>4.8476798574163293</v>
      </c>
      <c r="Q81">
        <f>MEDIAN(D81:H81)</f>
        <v>77</v>
      </c>
      <c r="R81" s="2">
        <f>MAX(J81:O81)</f>
        <v>86</v>
      </c>
      <c r="S81" s="27">
        <f t="shared" ref="S81:S85" si="32">100*(R81-Q81)/Q81</f>
        <v>11.688311688311689</v>
      </c>
    </row>
    <row r="82" spans="1:66" x14ac:dyDescent="0.25">
      <c r="A82" s="68"/>
      <c r="B82" s="3" t="s">
        <v>100</v>
      </c>
      <c r="C82" s="21" t="s">
        <v>153</v>
      </c>
      <c r="D82">
        <v>43</v>
      </c>
      <c r="E82">
        <v>46</v>
      </c>
      <c r="F82">
        <v>48</v>
      </c>
      <c r="G82">
        <v>54</v>
      </c>
      <c r="H82">
        <v>52</v>
      </c>
      <c r="I82">
        <v>40</v>
      </c>
      <c r="J82">
        <v>43</v>
      </c>
      <c r="K82">
        <v>42</v>
      </c>
      <c r="L82">
        <v>42</v>
      </c>
      <c r="M82">
        <v>42</v>
      </c>
      <c r="N82">
        <v>41</v>
      </c>
      <c r="O82">
        <v>41</v>
      </c>
      <c r="P82" s="5">
        <f t="shared" si="31"/>
        <v>4.4497190922573981</v>
      </c>
      <c r="Q82">
        <f t="shared" ref="Q82:Q86" si="33">MEDIAN(D82:H82)</f>
        <v>48</v>
      </c>
      <c r="R82" s="2">
        <f t="shared" ref="R82:R86" si="34">MAX(J82:O82)</f>
        <v>43</v>
      </c>
      <c r="S82" s="27">
        <f t="shared" si="32"/>
        <v>-10.416666666666666</v>
      </c>
    </row>
    <row r="83" spans="1:66" x14ac:dyDescent="0.25">
      <c r="A83" s="68"/>
      <c r="B83" s="3" t="s">
        <v>100</v>
      </c>
      <c r="C83" s="21" t="s">
        <v>154</v>
      </c>
      <c r="D83">
        <v>40</v>
      </c>
      <c r="E83">
        <v>44</v>
      </c>
      <c r="F83">
        <v>43</v>
      </c>
      <c r="G83">
        <v>45</v>
      </c>
      <c r="H83">
        <v>43</v>
      </c>
      <c r="I83">
        <v>39</v>
      </c>
      <c r="J83">
        <v>52</v>
      </c>
      <c r="K83">
        <v>47</v>
      </c>
      <c r="L83">
        <v>47</v>
      </c>
      <c r="M83">
        <v>47</v>
      </c>
      <c r="N83">
        <v>47</v>
      </c>
      <c r="O83">
        <v>47</v>
      </c>
      <c r="P83" s="5">
        <f t="shared" si="31"/>
        <v>1.8708286933869707</v>
      </c>
      <c r="Q83">
        <f t="shared" si="33"/>
        <v>43</v>
      </c>
      <c r="R83" s="2">
        <f t="shared" si="34"/>
        <v>52</v>
      </c>
      <c r="S83" s="27">
        <f t="shared" si="32"/>
        <v>20.930232558139537</v>
      </c>
      <c r="T83">
        <v>41</v>
      </c>
      <c r="U83">
        <v>41</v>
      </c>
      <c r="V83">
        <v>44</v>
      </c>
      <c r="W83">
        <v>43</v>
      </c>
      <c r="X83">
        <v>46</v>
      </c>
      <c r="Y83">
        <v>40</v>
      </c>
      <c r="Z83">
        <v>45</v>
      </c>
      <c r="AA83">
        <v>51</v>
      </c>
      <c r="AB83">
        <v>46</v>
      </c>
      <c r="AC83">
        <v>46</v>
      </c>
      <c r="AD83">
        <v>45</v>
      </c>
      <c r="AE83">
        <v>45</v>
      </c>
      <c r="AI83">
        <v>53</v>
      </c>
      <c r="AJ83">
        <v>52</v>
      </c>
      <c r="AK83">
        <v>51</v>
      </c>
      <c r="AL83">
        <v>54</v>
      </c>
      <c r="AM83">
        <v>53</v>
      </c>
      <c r="AN83">
        <v>40</v>
      </c>
      <c r="AO83">
        <v>55</v>
      </c>
      <c r="AP83">
        <v>57</v>
      </c>
      <c r="AQ83">
        <v>56</v>
      </c>
      <c r="AR83">
        <v>53</v>
      </c>
      <c r="AS83">
        <v>52</v>
      </c>
      <c r="AT83">
        <v>51</v>
      </c>
      <c r="AX83">
        <v>44</v>
      </c>
      <c r="AY83">
        <v>42</v>
      </c>
      <c r="AZ83">
        <v>48</v>
      </c>
      <c r="BA83">
        <v>46</v>
      </c>
      <c r="BB83">
        <v>45</v>
      </c>
      <c r="BC83">
        <v>42</v>
      </c>
      <c r="BD83">
        <v>50</v>
      </c>
      <c r="BE83">
        <v>52</v>
      </c>
      <c r="BF83">
        <v>47</v>
      </c>
      <c r="BG83">
        <v>48</v>
      </c>
      <c r="BH83">
        <v>49</v>
      </c>
      <c r="BI83">
        <v>51</v>
      </c>
    </row>
    <row r="84" spans="1:66" x14ac:dyDescent="0.25">
      <c r="A84" s="68"/>
      <c r="B84" s="3" t="s">
        <v>100</v>
      </c>
      <c r="C84" s="21" t="s">
        <v>155</v>
      </c>
      <c r="D84">
        <v>50</v>
      </c>
      <c r="E84">
        <v>43</v>
      </c>
      <c r="F84">
        <v>43</v>
      </c>
      <c r="G84">
        <v>44</v>
      </c>
      <c r="H84">
        <v>44</v>
      </c>
      <c r="I84">
        <v>43</v>
      </c>
      <c r="J84">
        <v>61</v>
      </c>
      <c r="K84">
        <v>61</v>
      </c>
      <c r="L84">
        <v>58</v>
      </c>
      <c r="M84">
        <v>56</v>
      </c>
      <c r="N84">
        <v>54</v>
      </c>
      <c r="O84">
        <v>52</v>
      </c>
      <c r="P84" s="5">
        <f t="shared" si="31"/>
        <v>2.9495762407505248</v>
      </c>
      <c r="Q84">
        <f t="shared" si="33"/>
        <v>44</v>
      </c>
      <c r="R84" s="2">
        <f t="shared" si="34"/>
        <v>61</v>
      </c>
      <c r="S84" s="27">
        <f t="shared" si="32"/>
        <v>38.636363636363633</v>
      </c>
    </row>
    <row r="85" spans="1:66" x14ac:dyDescent="0.25">
      <c r="A85" s="68"/>
      <c r="B85" s="3" t="s">
        <v>100</v>
      </c>
      <c r="C85" s="21" t="s">
        <v>156</v>
      </c>
      <c r="D85">
        <v>46</v>
      </c>
      <c r="E85">
        <v>53</v>
      </c>
      <c r="F85">
        <v>60</v>
      </c>
      <c r="G85">
        <v>57</v>
      </c>
      <c r="H85">
        <v>57</v>
      </c>
      <c r="I85">
        <v>49</v>
      </c>
      <c r="J85">
        <v>55</v>
      </c>
      <c r="K85">
        <v>63</v>
      </c>
      <c r="L85">
        <v>62</v>
      </c>
      <c r="M85">
        <v>54</v>
      </c>
      <c r="N85">
        <v>52</v>
      </c>
      <c r="O85">
        <v>55</v>
      </c>
      <c r="P85" s="5">
        <f t="shared" si="31"/>
        <v>5.4129474410897434</v>
      </c>
      <c r="Q85">
        <f t="shared" si="33"/>
        <v>57</v>
      </c>
      <c r="R85" s="2">
        <f t="shared" si="34"/>
        <v>63</v>
      </c>
      <c r="S85" s="27">
        <f t="shared" si="32"/>
        <v>10.526315789473685</v>
      </c>
    </row>
    <row r="86" spans="1:66" x14ac:dyDescent="0.25">
      <c r="A86" s="68"/>
      <c r="B86" s="3" t="s">
        <v>100</v>
      </c>
      <c r="C86" s="21" t="s">
        <v>157</v>
      </c>
      <c r="D86">
        <v>50</v>
      </c>
      <c r="E86">
        <v>48</v>
      </c>
      <c r="F86">
        <v>51</v>
      </c>
      <c r="G86">
        <v>54</v>
      </c>
      <c r="H86">
        <v>51</v>
      </c>
      <c r="I86">
        <v>44</v>
      </c>
      <c r="J86">
        <v>57</v>
      </c>
      <c r="K86">
        <v>52</v>
      </c>
      <c r="L86">
        <v>54</v>
      </c>
      <c r="M86">
        <v>54</v>
      </c>
      <c r="N86">
        <v>52</v>
      </c>
      <c r="O86">
        <v>51</v>
      </c>
      <c r="P86" s="5">
        <f t="shared" ref="P86:P93" si="35">IFERROR(STDEVA(D86:H86),#N/A)</f>
        <v>2.16794833886788</v>
      </c>
      <c r="Q86">
        <f t="shared" si="33"/>
        <v>51</v>
      </c>
      <c r="R86" s="2">
        <f t="shared" si="34"/>
        <v>57</v>
      </c>
      <c r="S86" s="27">
        <f t="shared" ref="S86:S93" si="36">100*(R86-Q86)/Q86</f>
        <v>11.764705882352942</v>
      </c>
    </row>
    <row r="87" spans="1:66" x14ac:dyDescent="0.25">
      <c r="A87" s="68"/>
      <c r="B87" s="3" t="s">
        <v>100</v>
      </c>
      <c r="C87" s="21" t="s">
        <v>158</v>
      </c>
      <c r="D87">
        <v>53</v>
      </c>
      <c r="E87">
        <v>46</v>
      </c>
      <c r="F87">
        <v>46</v>
      </c>
      <c r="G87">
        <v>47</v>
      </c>
      <c r="H87">
        <v>48</v>
      </c>
      <c r="I87">
        <v>44</v>
      </c>
      <c r="J87">
        <v>43</v>
      </c>
      <c r="K87">
        <v>59</v>
      </c>
      <c r="L87">
        <v>58</v>
      </c>
      <c r="M87">
        <v>55</v>
      </c>
      <c r="N87">
        <v>50</v>
      </c>
      <c r="O87">
        <v>49</v>
      </c>
      <c r="P87" s="5">
        <f t="shared" si="35"/>
        <v>2.9154759474226504</v>
      </c>
      <c r="Q87">
        <f t="shared" ref="Q87:Q93" si="37">MEDIAN(D87:H87)</f>
        <v>47</v>
      </c>
      <c r="R87" s="2">
        <f t="shared" ref="R87:R93" si="38">MAX(J87:O87)</f>
        <v>59</v>
      </c>
      <c r="S87" s="27">
        <f t="shared" si="36"/>
        <v>25.531914893617021</v>
      </c>
    </row>
    <row r="88" spans="1:66" x14ac:dyDescent="0.25">
      <c r="A88" s="68"/>
      <c r="B88" s="3" t="s">
        <v>100</v>
      </c>
      <c r="C88" s="21" t="s">
        <v>159</v>
      </c>
      <c r="D88">
        <v>56</v>
      </c>
      <c r="E88">
        <v>53</v>
      </c>
      <c r="F88">
        <v>53</v>
      </c>
      <c r="G88">
        <v>55</v>
      </c>
      <c r="H88">
        <v>57</v>
      </c>
      <c r="I88">
        <v>42</v>
      </c>
      <c r="J88">
        <v>60</v>
      </c>
      <c r="K88">
        <v>60</v>
      </c>
      <c r="L88">
        <v>59</v>
      </c>
      <c r="M88">
        <v>60</v>
      </c>
      <c r="N88">
        <v>58</v>
      </c>
      <c r="O88">
        <v>61</v>
      </c>
      <c r="P88" s="5">
        <f t="shared" si="35"/>
        <v>1.7888543819998317</v>
      </c>
      <c r="Q88">
        <f t="shared" si="37"/>
        <v>55</v>
      </c>
      <c r="R88" s="2">
        <f t="shared" si="38"/>
        <v>61</v>
      </c>
      <c r="S88" s="27">
        <f t="shared" si="36"/>
        <v>10.909090909090908</v>
      </c>
    </row>
    <row r="89" spans="1:66" x14ac:dyDescent="0.25">
      <c r="A89" s="68"/>
      <c r="B89" s="3" t="s">
        <v>100</v>
      </c>
      <c r="C89" s="21" t="s">
        <v>160</v>
      </c>
      <c r="D89">
        <v>40</v>
      </c>
      <c r="E89">
        <v>46</v>
      </c>
      <c r="F89">
        <v>49</v>
      </c>
      <c r="G89">
        <v>45</v>
      </c>
      <c r="H89">
        <v>44</v>
      </c>
      <c r="I89">
        <v>40</v>
      </c>
      <c r="J89">
        <v>42</v>
      </c>
      <c r="K89">
        <v>42</v>
      </c>
      <c r="L89">
        <v>42</v>
      </c>
      <c r="M89">
        <v>42</v>
      </c>
      <c r="N89">
        <v>40</v>
      </c>
      <c r="O89">
        <v>42</v>
      </c>
      <c r="P89" s="5">
        <f t="shared" si="35"/>
        <v>3.271085446759225</v>
      </c>
      <c r="Q89">
        <f t="shared" si="37"/>
        <v>45</v>
      </c>
      <c r="R89" s="2">
        <f t="shared" si="38"/>
        <v>42</v>
      </c>
      <c r="S89" s="27">
        <f t="shared" si="36"/>
        <v>-6.666666666666667</v>
      </c>
    </row>
    <row r="90" spans="1:66" x14ac:dyDescent="0.25">
      <c r="A90" s="68"/>
      <c r="B90" s="3" t="s">
        <v>100</v>
      </c>
      <c r="C90" s="21" t="s">
        <v>161</v>
      </c>
      <c r="D90">
        <v>57</v>
      </c>
      <c r="E90">
        <v>54</v>
      </c>
      <c r="F90">
        <v>55</v>
      </c>
      <c r="G90">
        <v>55</v>
      </c>
      <c r="H90">
        <v>54</v>
      </c>
      <c r="I90">
        <v>43</v>
      </c>
      <c r="J90">
        <v>48</v>
      </c>
      <c r="K90">
        <v>56</v>
      </c>
      <c r="L90">
        <v>53</v>
      </c>
      <c r="M90">
        <v>53</v>
      </c>
      <c r="N90">
        <v>54</v>
      </c>
      <c r="O90">
        <v>51</v>
      </c>
      <c r="P90" s="5">
        <f t="shared" si="35"/>
        <v>1.2247448713915889</v>
      </c>
      <c r="Q90">
        <f t="shared" si="37"/>
        <v>55</v>
      </c>
      <c r="R90" s="2">
        <f t="shared" si="38"/>
        <v>56</v>
      </c>
      <c r="S90" s="27">
        <f t="shared" si="36"/>
        <v>1.8181818181818181</v>
      </c>
    </row>
    <row r="91" spans="1:66" x14ac:dyDescent="0.25">
      <c r="A91" s="68"/>
      <c r="B91" s="3" t="s">
        <v>100</v>
      </c>
      <c r="C91" s="21" t="s">
        <v>162</v>
      </c>
      <c r="D91">
        <v>40</v>
      </c>
      <c r="E91">
        <v>40</v>
      </c>
      <c r="F91">
        <v>52</v>
      </c>
      <c r="G91">
        <v>56</v>
      </c>
      <c r="H91">
        <v>51</v>
      </c>
      <c r="I91">
        <v>30</v>
      </c>
      <c r="J91">
        <v>43</v>
      </c>
      <c r="K91">
        <v>45</v>
      </c>
      <c r="L91">
        <v>44</v>
      </c>
      <c r="M91">
        <v>42</v>
      </c>
      <c r="N91">
        <v>41</v>
      </c>
      <c r="O91">
        <v>42</v>
      </c>
      <c r="P91" s="5">
        <f t="shared" si="35"/>
        <v>7.362064927722372</v>
      </c>
      <c r="Q91">
        <f t="shared" si="37"/>
        <v>51</v>
      </c>
      <c r="R91" s="2">
        <f t="shared" si="38"/>
        <v>45</v>
      </c>
      <c r="S91" s="27">
        <f t="shared" si="36"/>
        <v>-11.764705882352942</v>
      </c>
    </row>
    <row r="92" spans="1:66" ht="16.5" thickBot="1" x14ac:dyDescent="0.3">
      <c r="A92" s="68"/>
      <c r="B92" s="3" t="s">
        <v>100</v>
      </c>
      <c r="C92" s="21" t="s">
        <v>163</v>
      </c>
      <c r="D92">
        <v>49</v>
      </c>
      <c r="E92">
        <v>52</v>
      </c>
      <c r="F92">
        <v>58</v>
      </c>
      <c r="G92">
        <v>57</v>
      </c>
      <c r="H92">
        <v>54</v>
      </c>
      <c r="I92">
        <v>40</v>
      </c>
      <c r="J92">
        <v>54</v>
      </c>
      <c r="K92">
        <v>60</v>
      </c>
      <c r="L92">
        <v>59</v>
      </c>
      <c r="M92">
        <v>54</v>
      </c>
      <c r="N92">
        <v>53</v>
      </c>
      <c r="O92">
        <v>50</v>
      </c>
      <c r="P92" s="5">
        <f t="shared" si="35"/>
        <v>3.6742346141747673</v>
      </c>
      <c r="Q92">
        <f t="shared" si="37"/>
        <v>54</v>
      </c>
      <c r="R92" s="2">
        <f t="shared" si="38"/>
        <v>60</v>
      </c>
      <c r="S92" s="27">
        <f t="shared" si="36"/>
        <v>11.111111111111111</v>
      </c>
      <c r="T92">
        <v>48</v>
      </c>
      <c r="U92">
        <v>45</v>
      </c>
      <c r="V92">
        <v>42</v>
      </c>
      <c r="W92">
        <v>60</v>
      </c>
      <c r="X92">
        <v>61</v>
      </c>
      <c r="Y92">
        <v>60</v>
      </c>
      <c r="Z92">
        <v>42</v>
      </c>
      <c r="AA92">
        <v>53</v>
      </c>
      <c r="AB92">
        <v>51</v>
      </c>
      <c r="AC92">
        <v>52</v>
      </c>
      <c r="AD92">
        <v>50</v>
      </c>
      <c r="AE92">
        <v>47</v>
      </c>
      <c r="AI92">
        <v>49</v>
      </c>
      <c r="AJ92">
        <v>52</v>
      </c>
      <c r="AK92">
        <v>55</v>
      </c>
      <c r="AL92">
        <v>56</v>
      </c>
      <c r="AM92">
        <v>52</v>
      </c>
      <c r="AN92">
        <v>43</v>
      </c>
      <c r="AO92">
        <v>62</v>
      </c>
      <c r="AP92">
        <v>62</v>
      </c>
      <c r="AQ92">
        <v>61</v>
      </c>
      <c r="AR92">
        <v>61</v>
      </c>
      <c r="AS92">
        <v>59</v>
      </c>
      <c r="AT92">
        <v>55</v>
      </c>
      <c r="AX92">
        <v>48</v>
      </c>
      <c r="AY92">
        <v>47</v>
      </c>
      <c r="AZ92">
        <v>50</v>
      </c>
      <c r="BA92">
        <v>49</v>
      </c>
      <c r="BB92">
        <v>49</v>
      </c>
      <c r="BC92">
        <v>40</v>
      </c>
      <c r="BD92">
        <v>60</v>
      </c>
      <c r="BE92">
        <v>54</v>
      </c>
      <c r="BF92">
        <v>53</v>
      </c>
      <c r="BG92">
        <v>49</v>
      </c>
      <c r="BH92">
        <v>47</v>
      </c>
      <c r="BI92">
        <v>41</v>
      </c>
    </row>
    <row r="93" spans="1:66" x14ac:dyDescent="0.25">
      <c r="A93" s="4"/>
      <c r="B93" s="3" t="s">
        <v>100</v>
      </c>
      <c r="C93" s="21" t="s">
        <v>164</v>
      </c>
      <c r="D93">
        <v>52</v>
      </c>
      <c r="E93">
        <v>53</v>
      </c>
      <c r="F93">
        <v>57</v>
      </c>
      <c r="G93">
        <v>57</v>
      </c>
      <c r="H93">
        <v>53</v>
      </c>
      <c r="I93">
        <v>48</v>
      </c>
      <c r="J93">
        <v>59</v>
      </c>
      <c r="K93">
        <v>64</v>
      </c>
      <c r="L93">
        <v>65</v>
      </c>
      <c r="M93">
        <v>64</v>
      </c>
      <c r="N93">
        <v>66</v>
      </c>
      <c r="O93">
        <v>63</v>
      </c>
      <c r="P93" s="5">
        <f t="shared" si="35"/>
        <v>2.4083189157584592</v>
      </c>
      <c r="Q93">
        <f t="shared" si="37"/>
        <v>53</v>
      </c>
      <c r="R93" s="2">
        <f t="shared" si="38"/>
        <v>66</v>
      </c>
      <c r="S93" s="27">
        <f t="shared" si="36"/>
        <v>24.528301886792452</v>
      </c>
      <c r="T93">
        <v>59</v>
      </c>
      <c r="U93">
        <v>54</v>
      </c>
      <c r="V93">
        <v>53</v>
      </c>
      <c r="W93">
        <v>53</v>
      </c>
      <c r="X93">
        <v>55</v>
      </c>
      <c r="Y93">
        <v>47</v>
      </c>
      <c r="Z93">
        <v>59</v>
      </c>
      <c r="AA93">
        <v>56</v>
      </c>
      <c r="AB93">
        <v>57</v>
      </c>
      <c r="AC93">
        <v>53</v>
      </c>
      <c r="AD93">
        <v>52</v>
      </c>
      <c r="AE93">
        <v>57</v>
      </c>
      <c r="AS93" s="9"/>
      <c r="AT93" s="8" t="s">
        <v>113</v>
      </c>
      <c r="AU93" s="10">
        <v>5</v>
      </c>
      <c r="AV93" s="15" t="s">
        <v>114</v>
      </c>
      <c r="AW93" s="16"/>
      <c r="AX93" s="11"/>
      <c r="AY93" s="12"/>
      <c r="BG93" s="9"/>
      <c r="BH93" s="9"/>
      <c r="BI93" s="8" t="s">
        <v>113</v>
      </c>
      <c r="BJ93" s="10">
        <v>5</v>
      </c>
      <c r="BK93" s="15" t="s">
        <v>114</v>
      </c>
      <c r="BL93" s="16"/>
      <c r="BM93" s="11"/>
      <c r="BN93" s="12"/>
    </row>
    <row r="94" spans="1:66" x14ac:dyDescent="0.25">
      <c r="A94" s="4"/>
      <c r="B94" s="3"/>
      <c r="C94" s="21"/>
      <c r="P94" s="31" t="s">
        <v>110</v>
      </c>
      <c r="Q94" s="30">
        <f>AVERAGE(Q84:Q93)</f>
        <v>51.2</v>
      </c>
      <c r="R94" s="30">
        <f>AVERAGE(R85:R93)</f>
        <v>56.555555555555557</v>
      </c>
      <c r="S94" s="29">
        <f>AVERAGE(S81:S93)</f>
        <v>10.661268535211425</v>
      </c>
      <c r="AS94" s="9"/>
      <c r="AT94" s="8"/>
      <c r="AU94" s="10"/>
      <c r="AV94" s="44"/>
      <c r="AW94" s="45"/>
      <c r="AY94" s="46"/>
      <c r="BG94" s="9"/>
      <c r="BH94" s="9"/>
      <c r="BI94" s="8"/>
      <c r="BJ94" s="10"/>
      <c r="BK94" s="44"/>
      <c r="BL94" s="45"/>
      <c r="BN94" s="46"/>
    </row>
    <row r="95" spans="1:66" x14ac:dyDescent="0.25">
      <c r="A95" s="4"/>
      <c r="B95" s="3"/>
      <c r="C95" s="21"/>
      <c r="P95" s="31" t="s">
        <v>111</v>
      </c>
      <c r="Q95" s="29">
        <f>STDEVA(Q84:Q93)</f>
        <v>4.4919681407794707</v>
      </c>
      <c r="R95" s="29">
        <f>STDEVA(R85:R93)</f>
        <v>8.0173423138704649</v>
      </c>
      <c r="S95" s="29">
        <f>STDEVA(S84:S93)</f>
        <v>15.16336770545024</v>
      </c>
      <c r="AS95" s="9"/>
      <c r="AT95" s="8"/>
      <c r="AU95" s="10"/>
      <c r="AV95" s="44"/>
      <c r="AW95" s="45"/>
      <c r="AY95" s="46"/>
      <c r="BG95" s="9"/>
      <c r="BH95" s="9"/>
      <c r="BI95" s="8"/>
      <c r="BJ95" s="10"/>
      <c r="BK95" s="44"/>
      <c r="BL95" s="45"/>
      <c r="BN95" s="46"/>
    </row>
    <row r="96" spans="1:66" ht="16.5" thickBot="1" x14ac:dyDescent="0.3">
      <c r="A96" s="4"/>
      <c r="B96" s="3"/>
      <c r="C96" s="21"/>
      <c r="P96" s="31" t="s">
        <v>112</v>
      </c>
      <c r="Q96" s="32">
        <f>Q95/Q94</f>
        <v>8.7733752749599034E-2</v>
      </c>
      <c r="R96" s="32">
        <f>R95/R94</f>
        <v>0.1417604731332695</v>
      </c>
      <c r="S96" s="32">
        <f>S95/S94</f>
        <v>1.4222855052726173</v>
      </c>
      <c r="AS96" s="9"/>
      <c r="AT96" s="8"/>
      <c r="AU96" s="10"/>
      <c r="AV96" s="44"/>
      <c r="AW96" s="45"/>
      <c r="AY96" s="46"/>
      <c r="BG96" s="9"/>
      <c r="BH96" s="9"/>
      <c r="BI96" s="8"/>
      <c r="BJ96" s="10"/>
      <c r="BK96" s="44"/>
      <c r="BL96" s="45"/>
      <c r="BN96" s="46"/>
    </row>
    <row r="97" spans="1:66" ht="16.5" thickBot="1" x14ac:dyDescent="0.3">
      <c r="A97" s="4"/>
      <c r="B97" s="3"/>
      <c r="P97" s="9"/>
      <c r="Q97" s="8" t="s">
        <v>113</v>
      </c>
      <c r="R97" s="8"/>
      <c r="S97" s="10">
        <v>5</v>
      </c>
      <c r="T97" s="15" t="s">
        <v>114</v>
      </c>
      <c r="U97" s="16"/>
      <c r="V97" s="16"/>
      <c r="W97" s="17"/>
      <c r="AC97" s="9"/>
      <c r="AD97" s="9"/>
      <c r="AE97" s="8" t="s">
        <v>113</v>
      </c>
      <c r="AF97" s="10">
        <v>5</v>
      </c>
      <c r="AG97" s="15" t="s">
        <v>114</v>
      </c>
      <c r="AH97" s="16"/>
      <c r="AI97" s="11"/>
      <c r="AJ97" s="12"/>
      <c r="AS97" s="9"/>
      <c r="AT97" s="8" t="s">
        <v>115</v>
      </c>
      <c r="AU97" s="10">
        <v>10</v>
      </c>
      <c r="AV97" s="18" t="s">
        <v>114</v>
      </c>
      <c r="AW97" s="13"/>
      <c r="AX97" s="13"/>
      <c r="AY97" s="14"/>
      <c r="BG97" s="9"/>
      <c r="BH97" s="9"/>
      <c r="BI97" s="8" t="s">
        <v>115</v>
      </c>
      <c r="BJ97" s="10">
        <v>10</v>
      </c>
      <c r="BK97" s="18" t="s">
        <v>114</v>
      </c>
      <c r="BL97" s="13"/>
      <c r="BM97" s="13"/>
      <c r="BN97" s="14"/>
    </row>
    <row r="98" spans="1:66" ht="16.5" thickBot="1" x14ac:dyDescent="0.3">
      <c r="A98" s="4"/>
      <c r="B98" s="3"/>
      <c r="P98" s="9"/>
      <c r="Q98" s="8" t="s">
        <v>115</v>
      </c>
      <c r="R98" s="8"/>
      <c r="S98" s="10">
        <v>13</v>
      </c>
      <c r="T98" s="18" t="s">
        <v>114</v>
      </c>
      <c r="U98" s="13"/>
      <c r="V98" s="13"/>
      <c r="W98" s="14"/>
      <c r="AC98" s="9"/>
      <c r="AD98" s="9"/>
      <c r="AE98" s="8" t="s">
        <v>115</v>
      </c>
      <c r="AF98" s="10">
        <v>10</v>
      </c>
      <c r="AG98" s="18" t="s">
        <v>114</v>
      </c>
      <c r="AH98" s="13"/>
      <c r="AI98" s="13"/>
      <c r="AJ98" s="14"/>
      <c r="AT98" s="2" t="s">
        <v>116</v>
      </c>
      <c r="AU98" s="5" t="e">
        <f>SQRT(AVERAGE(AU81:AU92))</f>
        <v>#DIV/0!</v>
      </c>
      <c r="BI98" s="2" t="s">
        <v>116</v>
      </c>
      <c r="BJ98" s="5" t="e">
        <f>SQRT(AVERAGE(BJ81:BJ92))</f>
        <v>#DIV/0!</v>
      </c>
    </row>
    <row r="99" spans="1:66" x14ac:dyDescent="0.25">
      <c r="A99" s="4"/>
      <c r="B99" s="3"/>
      <c r="Q99" s="2" t="s">
        <v>116</v>
      </c>
      <c r="R99" s="2"/>
      <c r="S99" s="5">
        <f>SQRT(AVERAGE(P81:P92))</f>
        <v>1.8693840307536083</v>
      </c>
      <c r="AE99" s="2" t="s">
        <v>116</v>
      </c>
      <c r="AF99" s="5" t="e">
        <f>SQRT(AVERAGE(AF81:AF92))</f>
        <v>#DIV/0!</v>
      </c>
      <c r="AT99" s="2" t="s">
        <v>117</v>
      </c>
      <c r="AU99" s="5" t="e">
        <f>2.77*AU98</f>
        <v>#DIV/0!</v>
      </c>
      <c r="BI99" s="2" t="s">
        <v>117</v>
      </c>
      <c r="BJ99" s="5" t="e">
        <f>2.77*BJ98</f>
        <v>#DIV/0!</v>
      </c>
    </row>
    <row r="100" spans="1:66" x14ac:dyDescent="0.25">
      <c r="A100" s="4"/>
      <c r="B100" s="3"/>
      <c r="Q100" s="2" t="s">
        <v>117</v>
      </c>
      <c r="R100" s="2"/>
      <c r="S100" s="5">
        <f>2.77*S99</f>
        <v>5.178193765187495</v>
      </c>
      <c r="AE100" s="2" t="s">
        <v>117</v>
      </c>
      <c r="AF100" s="5" t="e">
        <f>2.77*AF99</f>
        <v>#DIV/0!</v>
      </c>
      <c r="AT100" s="2" t="s">
        <v>118</v>
      </c>
      <c r="AU100" s="5" t="e">
        <f>AU99-(1.96*(AU98/(SQRT(2*AU97*(AU93-1)))))</f>
        <v>#DIV/0!</v>
      </c>
      <c r="BI100" s="2" t="s">
        <v>118</v>
      </c>
      <c r="BJ100" s="5" t="e">
        <f>BJ99-(1.96*(BJ98/(SQRT(2*BJ97*(BJ93-1)))))</f>
        <v>#DIV/0!</v>
      </c>
    </row>
    <row r="101" spans="1:66" x14ac:dyDescent="0.25">
      <c r="A101" s="4"/>
      <c r="B101" s="3"/>
      <c r="Q101" s="2" t="s">
        <v>118</v>
      </c>
      <c r="R101" s="2"/>
      <c r="S101" s="5">
        <f>S100-(1.96*(S99/(SQRT(2*S98*(S97-1)))))</f>
        <v>4.8189097214110657</v>
      </c>
      <c r="AE101" s="2" t="s">
        <v>118</v>
      </c>
      <c r="AF101" s="5" t="e">
        <f>AF100-(1.96*(AF99/(SQRT(2*AF98*(AF97-1)))))</f>
        <v>#DIV/0!</v>
      </c>
      <c r="AT101" s="2" t="s">
        <v>119</v>
      </c>
      <c r="AU101" s="5" t="e">
        <f>AU99+(1.96*(AU98/(SQRT(2*AU97*(AU93-1)))))</f>
        <v>#DIV/0!</v>
      </c>
      <c r="BI101" s="2" t="s">
        <v>119</v>
      </c>
      <c r="BJ101" s="5" t="e">
        <f>BJ99+(1.96*(BJ98/(SQRT(2*BJ97*(BJ93-1)))))</f>
        <v>#DIV/0!</v>
      </c>
    </row>
    <row r="102" spans="1:66" x14ac:dyDescent="0.25">
      <c r="A102" s="4"/>
      <c r="B102" s="3"/>
      <c r="Q102" s="2"/>
      <c r="R102" s="2" t="s">
        <v>119</v>
      </c>
      <c r="S102" s="5">
        <f>S100+(1.96*(S99/(SQRT(2*S98*(S97-1)))))</f>
        <v>5.5374778089639243</v>
      </c>
      <c r="AE102" s="2"/>
      <c r="AF102" s="5"/>
      <c r="AT102" s="2"/>
      <c r="AU102" s="5"/>
      <c r="BI102" s="2"/>
      <c r="BJ102" s="5"/>
    </row>
    <row r="103" spans="1:66" s="58" customFormat="1" x14ac:dyDescent="0.25">
      <c r="A103" s="56"/>
      <c r="B103" s="57"/>
      <c r="Q103" s="59"/>
      <c r="R103" s="59"/>
      <c r="S103" s="60"/>
      <c r="AE103" s="59"/>
      <c r="AF103" s="60"/>
      <c r="AT103" s="59"/>
      <c r="AU103" s="60"/>
      <c r="BI103" s="59"/>
      <c r="BJ103" s="60"/>
    </row>
    <row r="104" spans="1:66" x14ac:dyDescent="0.25">
      <c r="A104" s="67" t="s">
        <v>165</v>
      </c>
    </row>
    <row r="105" spans="1:66" x14ac:dyDescent="0.25">
      <c r="A105" s="67"/>
    </row>
    <row r="106" spans="1:66" x14ac:dyDescent="0.25">
      <c r="A106" s="67"/>
      <c r="B106" s="3" t="s">
        <v>166</v>
      </c>
      <c r="C106" t="s">
        <v>167</v>
      </c>
      <c r="D106">
        <v>43</v>
      </c>
      <c r="E106">
        <v>42</v>
      </c>
      <c r="F106">
        <v>42</v>
      </c>
      <c r="G106">
        <v>41</v>
      </c>
      <c r="H106">
        <v>42</v>
      </c>
      <c r="I106">
        <v>42</v>
      </c>
      <c r="J106">
        <v>44</v>
      </c>
      <c r="K106">
        <v>43</v>
      </c>
      <c r="L106">
        <v>43</v>
      </c>
      <c r="M106">
        <v>48</v>
      </c>
      <c r="N106">
        <v>45</v>
      </c>
      <c r="O106">
        <v>43</v>
      </c>
      <c r="P106" s="5">
        <f t="shared" ref="P106:P109" si="39">IFERROR(STDEVA(D106:H106),#N/A)</f>
        <v>0.70710678118654757</v>
      </c>
      <c r="Q106">
        <f t="shared" ref="Q106:Q109" si="40">MEDIAN(D106:H106)</f>
        <v>42</v>
      </c>
      <c r="R106" s="2">
        <f t="shared" ref="R106:R109" si="41">MAX(J106:O106)</f>
        <v>48</v>
      </c>
      <c r="S106" s="27">
        <f t="shared" ref="S106:S109" si="42">100*(R106-Q106)/Q106</f>
        <v>14.285714285714286</v>
      </c>
      <c r="T106">
        <v>49</v>
      </c>
      <c r="U106">
        <v>51</v>
      </c>
      <c r="V106">
        <v>50</v>
      </c>
      <c r="W106">
        <v>49</v>
      </c>
      <c r="X106">
        <v>47</v>
      </c>
      <c r="Y106">
        <v>40</v>
      </c>
      <c r="Z106">
        <v>51</v>
      </c>
      <c r="AA106">
        <v>55</v>
      </c>
      <c r="AB106">
        <v>54</v>
      </c>
      <c r="AC106">
        <v>50</v>
      </c>
      <c r="AD106">
        <v>47</v>
      </c>
      <c r="AE106">
        <v>48</v>
      </c>
      <c r="AI106">
        <v>40</v>
      </c>
      <c r="AJ106">
        <v>41</v>
      </c>
      <c r="AK106">
        <v>52</v>
      </c>
      <c r="AL106">
        <v>54</v>
      </c>
      <c r="AM106">
        <v>43</v>
      </c>
      <c r="AN106">
        <v>40</v>
      </c>
      <c r="AO106">
        <v>39</v>
      </c>
      <c r="AP106">
        <v>42</v>
      </c>
      <c r="AQ106">
        <v>41</v>
      </c>
      <c r="AR106">
        <v>46</v>
      </c>
      <c r="AS106">
        <v>48</v>
      </c>
      <c r="AT106">
        <v>48</v>
      </c>
      <c r="AX106">
        <v>40</v>
      </c>
      <c r="AY106">
        <v>39</v>
      </c>
      <c r="AZ106">
        <v>39</v>
      </c>
      <c r="BA106">
        <v>40</v>
      </c>
      <c r="BB106">
        <v>40</v>
      </c>
      <c r="BC106">
        <v>40</v>
      </c>
      <c r="BD106">
        <v>40</v>
      </c>
      <c r="BE106">
        <v>42</v>
      </c>
      <c r="BF106">
        <v>40</v>
      </c>
      <c r="BG106">
        <v>40</v>
      </c>
      <c r="BH106">
        <v>39</v>
      </c>
      <c r="BI106">
        <v>37</v>
      </c>
    </row>
    <row r="107" spans="1:66" x14ac:dyDescent="0.25">
      <c r="A107" s="67"/>
      <c r="B107" s="3" t="s">
        <v>166</v>
      </c>
      <c r="C107" t="s">
        <v>168</v>
      </c>
      <c r="E107">
        <v>45</v>
      </c>
      <c r="F107">
        <v>47</v>
      </c>
      <c r="G107">
        <v>51</v>
      </c>
      <c r="H107">
        <v>50</v>
      </c>
      <c r="I107">
        <v>41</v>
      </c>
      <c r="J107">
        <v>51</v>
      </c>
      <c r="K107">
        <v>42</v>
      </c>
      <c r="L107">
        <v>43</v>
      </c>
      <c r="M107">
        <v>38</v>
      </c>
      <c r="N107">
        <v>39</v>
      </c>
      <c r="O107">
        <v>49</v>
      </c>
      <c r="P107" s="5">
        <f t="shared" si="39"/>
        <v>2.753785273643051</v>
      </c>
      <c r="Q107">
        <f t="shared" si="40"/>
        <v>48.5</v>
      </c>
      <c r="R107" s="2">
        <f t="shared" si="41"/>
        <v>51</v>
      </c>
      <c r="S107" s="27">
        <f t="shared" si="42"/>
        <v>5.1546391752577323</v>
      </c>
      <c r="T107">
        <v>43</v>
      </c>
      <c r="U107">
        <v>46</v>
      </c>
      <c r="V107">
        <v>51</v>
      </c>
      <c r="W107">
        <v>51</v>
      </c>
      <c r="X107">
        <v>50</v>
      </c>
      <c r="Y107">
        <v>38</v>
      </c>
      <c r="Z107">
        <v>42</v>
      </c>
      <c r="AA107">
        <v>56</v>
      </c>
      <c r="AB107">
        <v>54</v>
      </c>
      <c r="AC107">
        <v>50</v>
      </c>
      <c r="AD107">
        <v>48</v>
      </c>
      <c r="AE107">
        <v>44</v>
      </c>
      <c r="AI107">
        <v>41</v>
      </c>
      <c r="AJ107">
        <v>45</v>
      </c>
      <c r="AK107">
        <v>46</v>
      </c>
      <c r="AL107">
        <v>52</v>
      </c>
      <c r="AM107">
        <v>48</v>
      </c>
      <c r="AN107">
        <v>38</v>
      </c>
      <c r="AO107">
        <v>52</v>
      </c>
      <c r="AP107">
        <v>58</v>
      </c>
      <c r="AQ107">
        <v>52</v>
      </c>
      <c r="AR107">
        <v>52</v>
      </c>
      <c r="AS107">
        <v>54</v>
      </c>
      <c r="AT107">
        <v>51</v>
      </c>
      <c r="AX107">
        <v>55</v>
      </c>
      <c r="AY107">
        <v>55</v>
      </c>
      <c r="AZ107">
        <v>54</v>
      </c>
      <c r="BA107">
        <v>55</v>
      </c>
      <c r="BB107">
        <v>51</v>
      </c>
      <c r="BC107">
        <v>40</v>
      </c>
      <c r="BD107">
        <v>60</v>
      </c>
      <c r="BE107">
        <v>60</v>
      </c>
      <c r="BF107">
        <v>58</v>
      </c>
      <c r="BG107">
        <v>57</v>
      </c>
      <c r="BH107">
        <v>58</v>
      </c>
      <c r="BI107">
        <v>57</v>
      </c>
    </row>
    <row r="108" spans="1:66" x14ac:dyDescent="0.25">
      <c r="A108" s="67"/>
      <c r="B108" s="3" t="s">
        <v>166</v>
      </c>
      <c r="C108" t="s">
        <v>169</v>
      </c>
      <c r="D108">
        <v>46</v>
      </c>
      <c r="E108">
        <v>49</v>
      </c>
      <c r="F108">
        <v>49</v>
      </c>
      <c r="G108">
        <v>52</v>
      </c>
      <c r="H108">
        <v>49</v>
      </c>
      <c r="I108">
        <v>41</v>
      </c>
      <c r="J108">
        <v>57</v>
      </c>
      <c r="K108">
        <v>57</v>
      </c>
      <c r="L108">
        <v>54</v>
      </c>
      <c r="M108">
        <v>53</v>
      </c>
      <c r="N108">
        <v>50</v>
      </c>
      <c r="O108">
        <v>53</v>
      </c>
      <c r="P108" s="5">
        <f t="shared" si="39"/>
        <v>2.1213203435596424</v>
      </c>
      <c r="Q108">
        <f t="shared" si="40"/>
        <v>49</v>
      </c>
      <c r="R108" s="2">
        <f t="shared" si="41"/>
        <v>57</v>
      </c>
      <c r="S108" s="27">
        <f t="shared" si="42"/>
        <v>16.326530612244898</v>
      </c>
      <c r="T108">
        <v>47</v>
      </c>
      <c r="U108">
        <v>48</v>
      </c>
      <c r="V108">
        <v>55</v>
      </c>
      <c r="W108">
        <v>55</v>
      </c>
      <c r="X108">
        <v>59</v>
      </c>
      <c r="Y108">
        <v>37</v>
      </c>
      <c r="Z108">
        <v>61</v>
      </c>
      <c r="AA108">
        <v>59</v>
      </c>
      <c r="AB108">
        <v>58</v>
      </c>
      <c r="AC108">
        <v>59</v>
      </c>
      <c r="AD108">
        <v>59</v>
      </c>
      <c r="AE108">
        <v>60</v>
      </c>
      <c r="AI108">
        <v>49</v>
      </c>
      <c r="AJ108">
        <v>56</v>
      </c>
      <c r="AK108">
        <v>52</v>
      </c>
      <c r="AL108">
        <v>54</v>
      </c>
      <c r="AM108">
        <v>51</v>
      </c>
      <c r="AN108">
        <v>44</v>
      </c>
      <c r="AO108">
        <v>56</v>
      </c>
      <c r="AP108">
        <v>59</v>
      </c>
      <c r="AQ108">
        <v>56</v>
      </c>
      <c r="AR108">
        <v>54</v>
      </c>
      <c r="AS108">
        <v>53</v>
      </c>
      <c r="AT108">
        <v>53</v>
      </c>
      <c r="AX108">
        <v>41</v>
      </c>
      <c r="AY108">
        <v>42</v>
      </c>
      <c r="AZ108">
        <v>45</v>
      </c>
      <c r="BA108">
        <v>42</v>
      </c>
      <c r="BB108">
        <v>44</v>
      </c>
      <c r="BC108">
        <v>40</v>
      </c>
      <c r="BD108">
        <v>52</v>
      </c>
      <c r="BE108">
        <v>49</v>
      </c>
      <c r="BF108">
        <v>47</v>
      </c>
      <c r="BG108">
        <v>45</v>
      </c>
      <c r="BH108">
        <v>44</v>
      </c>
      <c r="BI108">
        <v>41</v>
      </c>
    </row>
    <row r="109" spans="1:66" x14ac:dyDescent="0.25">
      <c r="A109" s="67"/>
      <c r="B109" s="3" t="s">
        <v>166</v>
      </c>
      <c r="C109" t="s">
        <v>170</v>
      </c>
      <c r="D109">
        <v>49</v>
      </c>
      <c r="E109">
        <v>49</v>
      </c>
      <c r="F109">
        <v>46</v>
      </c>
      <c r="G109">
        <v>45</v>
      </c>
      <c r="H109">
        <v>45</v>
      </c>
      <c r="I109">
        <v>42</v>
      </c>
      <c r="J109">
        <v>47</v>
      </c>
      <c r="K109">
        <v>47</v>
      </c>
      <c r="L109">
        <v>46</v>
      </c>
      <c r="M109">
        <v>47</v>
      </c>
      <c r="N109">
        <v>46</v>
      </c>
      <c r="O109">
        <v>45</v>
      </c>
      <c r="P109" s="5">
        <f t="shared" si="39"/>
        <v>2.0493901531919194</v>
      </c>
      <c r="Q109">
        <f t="shared" si="40"/>
        <v>46</v>
      </c>
      <c r="R109" s="2">
        <f t="shared" si="41"/>
        <v>47</v>
      </c>
      <c r="S109" s="27">
        <f t="shared" si="42"/>
        <v>2.1739130434782608</v>
      </c>
      <c r="T109">
        <v>46</v>
      </c>
      <c r="U109">
        <v>47</v>
      </c>
      <c r="V109">
        <v>48</v>
      </c>
      <c r="W109">
        <v>52</v>
      </c>
      <c r="X109">
        <v>46</v>
      </c>
      <c r="Y109">
        <v>45</v>
      </c>
      <c r="Z109">
        <v>52</v>
      </c>
      <c r="AA109">
        <v>48</v>
      </c>
      <c r="AB109">
        <v>52</v>
      </c>
      <c r="AC109">
        <v>51</v>
      </c>
      <c r="AD109">
        <v>50</v>
      </c>
      <c r="AE109">
        <v>49</v>
      </c>
      <c r="AI109">
        <v>51</v>
      </c>
      <c r="AJ109">
        <v>54</v>
      </c>
      <c r="AK109">
        <v>51</v>
      </c>
      <c r="AL109">
        <v>51</v>
      </c>
      <c r="AM109">
        <v>52</v>
      </c>
      <c r="AN109">
        <v>40</v>
      </c>
      <c r="AO109">
        <v>51</v>
      </c>
      <c r="AP109">
        <v>46</v>
      </c>
      <c r="AQ109">
        <v>47</v>
      </c>
      <c r="AR109">
        <v>47</v>
      </c>
      <c r="AS109">
        <v>47</v>
      </c>
      <c r="AT109">
        <v>45</v>
      </c>
      <c r="AX109">
        <v>53</v>
      </c>
      <c r="AY109">
        <v>45</v>
      </c>
      <c r="AZ109">
        <v>45</v>
      </c>
      <c r="BA109">
        <v>46</v>
      </c>
      <c r="BB109">
        <v>44</v>
      </c>
      <c r="BC109">
        <v>41</v>
      </c>
      <c r="BD109">
        <v>55</v>
      </c>
      <c r="BE109">
        <v>56</v>
      </c>
      <c r="BF109">
        <v>55</v>
      </c>
      <c r="BG109">
        <v>47</v>
      </c>
      <c r="BH109">
        <v>46</v>
      </c>
      <c r="BI109">
        <v>46</v>
      </c>
    </row>
    <row r="110" spans="1:66" x14ac:dyDescent="0.25">
      <c r="A110" s="67"/>
      <c r="B110" s="3" t="s">
        <v>166</v>
      </c>
      <c r="C110" t="s">
        <v>171</v>
      </c>
      <c r="D110">
        <v>45</v>
      </c>
      <c r="E110">
        <v>50</v>
      </c>
      <c r="F110">
        <v>48</v>
      </c>
      <c r="G110">
        <v>51</v>
      </c>
      <c r="H110">
        <v>45</v>
      </c>
      <c r="I110">
        <v>42</v>
      </c>
      <c r="J110">
        <v>60</v>
      </c>
      <c r="K110">
        <v>50</v>
      </c>
      <c r="L110">
        <v>48</v>
      </c>
      <c r="M110">
        <v>48</v>
      </c>
      <c r="N110">
        <v>45</v>
      </c>
      <c r="O110">
        <v>44</v>
      </c>
      <c r="P110" s="5">
        <f t="shared" ref="P110:P112" si="43">IFERROR(STDEVA(D110:H110),#N/A)</f>
        <v>2.7748873851023212</v>
      </c>
      <c r="Q110">
        <f t="shared" ref="Q110:Q112" si="44">MEDIAN(D110:H110)</f>
        <v>48</v>
      </c>
      <c r="R110" s="2">
        <f t="shared" ref="R110:R112" si="45">MAX(J110:O110)</f>
        <v>60</v>
      </c>
      <c r="S110" s="27">
        <f t="shared" ref="S110:S112" si="46">100*(R110-Q110)/Q110</f>
        <v>25</v>
      </c>
      <c r="T110">
        <v>44</v>
      </c>
      <c r="U110">
        <v>44</v>
      </c>
      <c r="V110">
        <v>42</v>
      </c>
      <c r="W110">
        <v>42</v>
      </c>
      <c r="X110">
        <v>41</v>
      </c>
      <c r="Y110">
        <v>40</v>
      </c>
      <c r="Z110">
        <v>55</v>
      </c>
      <c r="AA110">
        <v>52</v>
      </c>
      <c r="AB110">
        <v>47</v>
      </c>
      <c r="AC110">
        <v>44</v>
      </c>
      <c r="AD110">
        <v>44</v>
      </c>
      <c r="AE110">
        <v>43</v>
      </c>
      <c r="AI110">
        <v>41</v>
      </c>
      <c r="AJ110">
        <v>42</v>
      </c>
      <c r="AK110">
        <v>43</v>
      </c>
      <c r="AL110">
        <v>41</v>
      </c>
      <c r="AM110">
        <v>42</v>
      </c>
      <c r="AN110">
        <v>38</v>
      </c>
      <c r="AO110">
        <v>56</v>
      </c>
      <c r="AP110">
        <v>54</v>
      </c>
      <c r="AQ110">
        <v>47</v>
      </c>
      <c r="AR110">
        <v>46</v>
      </c>
      <c r="AS110">
        <v>45</v>
      </c>
      <c r="AT110">
        <v>45</v>
      </c>
      <c r="AX110">
        <v>43</v>
      </c>
      <c r="AY110">
        <v>42</v>
      </c>
      <c r="AZ110">
        <v>41</v>
      </c>
      <c r="BA110">
        <v>42</v>
      </c>
      <c r="BB110">
        <v>41</v>
      </c>
      <c r="BC110">
        <v>30</v>
      </c>
      <c r="BD110">
        <v>53</v>
      </c>
      <c r="BE110">
        <v>47</v>
      </c>
      <c r="BF110">
        <v>47</v>
      </c>
      <c r="BG110">
        <v>46</v>
      </c>
      <c r="BH110">
        <v>44</v>
      </c>
      <c r="BI110">
        <v>44</v>
      </c>
    </row>
    <row r="111" spans="1:66" x14ac:dyDescent="0.25">
      <c r="A111" s="67"/>
      <c r="B111" s="3" t="s">
        <v>166</v>
      </c>
      <c r="C111" t="s">
        <v>172</v>
      </c>
      <c r="D111">
        <v>40</v>
      </c>
      <c r="E111">
        <v>39</v>
      </c>
      <c r="F111">
        <v>40</v>
      </c>
      <c r="G111">
        <v>40</v>
      </c>
      <c r="H111">
        <v>42</v>
      </c>
      <c r="I111">
        <v>38</v>
      </c>
      <c r="J111">
        <v>51</v>
      </c>
      <c r="K111">
        <v>47</v>
      </c>
      <c r="L111">
        <v>48</v>
      </c>
      <c r="M111">
        <v>47</v>
      </c>
      <c r="N111">
        <v>45</v>
      </c>
      <c r="O111">
        <v>44</v>
      </c>
      <c r="P111" s="5">
        <f t="shared" si="43"/>
        <v>1.0954451150103321</v>
      </c>
      <c r="Q111">
        <f t="shared" si="44"/>
        <v>40</v>
      </c>
      <c r="R111" s="2">
        <f t="shared" si="45"/>
        <v>51</v>
      </c>
      <c r="S111" s="27">
        <f t="shared" si="46"/>
        <v>27.5</v>
      </c>
      <c r="T111">
        <v>40</v>
      </c>
      <c r="U111">
        <v>40</v>
      </c>
      <c r="V111">
        <v>40</v>
      </c>
      <c r="W111">
        <v>41</v>
      </c>
      <c r="X111">
        <v>39</v>
      </c>
      <c r="Y111">
        <v>43</v>
      </c>
      <c r="Z111">
        <v>48</v>
      </c>
      <c r="AA111">
        <v>49</v>
      </c>
      <c r="AB111">
        <v>48</v>
      </c>
      <c r="AC111">
        <v>47</v>
      </c>
      <c r="AD111">
        <v>44</v>
      </c>
      <c r="AE111">
        <v>43</v>
      </c>
      <c r="AI111">
        <v>40</v>
      </c>
      <c r="AJ111">
        <v>39</v>
      </c>
      <c r="AK111">
        <v>41</v>
      </c>
      <c r="AL111">
        <v>45</v>
      </c>
      <c r="AM111">
        <v>43</v>
      </c>
      <c r="AN111">
        <v>40</v>
      </c>
      <c r="AO111">
        <v>50</v>
      </c>
      <c r="AP111">
        <v>49</v>
      </c>
      <c r="AQ111">
        <v>50</v>
      </c>
      <c r="AR111">
        <v>47</v>
      </c>
      <c r="AS111">
        <v>50</v>
      </c>
      <c r="AT111">
        <v>49</v>
      </c>
      <c r="AX111">
        <v>45</v>
      </c>
      <c r="AY111">
        <v>45</v>
      </c>
      <c r="AZ111">
        <v>46</v>
      </c>
      <c r="BA111">
        <v>50</v>
      </c>
      <c r="BB111">
        <v>47</v>
      </c>
      <c r="BC111">
        <v>41</v>
      </c>
      <c r="BD111">
        <v>52</v>
      </c>
      <c r="BE111">
        <v>50</v>
      </c>
      <c r="BF111">
        <v>49</v>
      </c>
      <c r="BG111">
        <v>47</v>
      </c>
      <c r="BH111">
        <v>42</v>
      </c>
      <c r="BI111">
        <v>43</v>
      </c>
    </row>
    <row r="112" spans="1:66" x14ac:dyDescent="0.25">
      <c r="A112" s="67"/>
      <c r="B112" s="3" t="s">
        <v>166</v>
      </c>
      <c r="C112" t="s">
        <v>173</v>
      </c>
      <c r="D112">
        <v>47</v>
      </c>
      <c r="E112">
        <v>54</v>
      </c>
      <c r="F112">
        <v>55</v>
      </c>
      <c r="G112">
        <v>51</v>
      </c>
      <c r="H112">
        <v>54</v>
      </c>
      <c r="I112">
        <v>42</v>
      </c>
      <c r="J112">
        <v>57</v>
      </c>
      <c r="K112">
        <v>57</v>
      </c>
      <c r="L112">
        <v>52</v>
      </c>
      <c r="M112">
        <v>47</v>
      </c>
      <c r="N112">
        <v>47</v>
      </c>
      <c r="O112">
        <v>49</v>
      </c>
      <c r="P112" s="5">
        <f t="shared" si="43"/>
        <v>3.271085446759225</v>
      </c>
      <c r="Q112">
        <f t="shared" si="44"/>
        <v>54</v>
      </c>
      <c r="R112" s="2">
        <f t="shared" si="45"/>
        <v>57</v>
      </c>
      <c r="S112" s="27">
        <f t="shared" si="46"/>
        <v>5.5555555555555554</v>
      </c>
    </row>
    <row r="113" spans="1:66" x14ac:dyDescent="0.25">
      <c r="A113" s="67"/>
      <c r="B113" s="3"/>
      <c r="P113" s="31" t="s">
        <v>110</v>
      </c>
      <c r="Q113" s="30">
        <f>AVERAGE(Q106:Q112)</f>
        <v>46.785714285714285</v>
      </c>
      <c r="R113" s="30">
        <f>AVERAGE(R107:R112)</f>
        <v>53.833333333333336</v>
      </c>
      <c r="S113" s="29">
        <f>AVERAGE(S106:S112)</f>
        <v>13.713764667464389</v>
      </c>
    </row>
    <row r="114" spans="1:66" x14ac:dyDescent="0.25">
      <c r="A114" s="67"/>
      <c r="B114" s="3"/>
      <c r="P114" s="31" t="s">
        <v>111</v>
      </c>
      <c r="Q114" s="29">
        <f>STDEVA(Q106:Q112)</f>
        <v>4.6713411962121301</v>
      </c>
      <c r="R114" s="29">
        <f>STDEVA(R107:R112)</f>
        <v>4.9159604012508753</v>
      </c>
      <c r="S114" s="29">
        <f>STDEVA(S106:S112)</f>
        <v>9.9797816065118958</v>
      </c>
    </row>
    <row r="115" spans="1:66" ht="16.5" thickBot="1" x14ac:dyDescent="0.3">
      <c r="A115" s="67"/>
      <c r="B115" s="3"/>
      <c r="P115" s="31" t="s">
        <v>112</v>
      </c>
      <c r="Q115" s="32">
        <f>Q114/Q113</f>
        <v>9.9845460682396678E-2</v>
      </c>
      <c r="R115" s="32">
        <f>R114/R113</f>
        <v>9.1318149868437309E-2</v>
      </c>
      <c r="S115" s="32">
        <f>S114/S113</f>
        <v>0.72772005707438692</v>
      </c>
    </row>
    <row r="116" spans="1:66" x14ac:dyDescent="0.25">
      <c r="A116" s="4"/>
      <c r="B116" s="3"/>
      <c r="N116" s="9"/>
      <c r="O116" s="8" t="s">
        <v>113</v>
      </c>
      <c r="P116" s="10">
        <v>5</v>
      </c>
      <c r="Q116" s="15" t="s">
        <v>114</v>
      </c>
      <c r="R116" s="16"/>
      <c r="S116" s="16"/>
      <c r="T116" s="16"/>
      <c r="U116" s="17"/>
      <c r="AC116" s="9"/>
      <c r="AD116" s="9"/>
      <c r="AE116" s="8" t="s">
        <v>113</v>
      </c>
      <c r="AF116" s="10">
        <v>5</v>
      </c>
      <c r="AG116" s="15" t="s">
        <v>114</v>
      </c>
      <c r="AH116" s="16"/>
      <c r="AI116" s="11"/>
      <c r="AJ116" s="12"/>
      <c r="AS116" s="9"/>
      <c r="AT116" s="8" t="s">
        <v>113</v>
      </c>
      <c r="AU116" s="10">
        <v>5</v>
      </c>
      <c r="AV116" s="15" t="s">
        <v>114</v>
      </c>
      <c r="AW116" s="16"/>
      <c r="AX116" s="11"/>
      <c r="AY116" s="12"/>
      <c r="BG116" s="9"/>
      <c r="BH116" s="9"/>
      <c r="BI116" s="8" t="s">
        <v>113</v>
      </c>
      <c r="BJ116" s="10">
        <v>5</v>
      </c>
      <c r="BK116" s="15" t="s">
        <v>114</v>
      </c>
      <c r="BL116" s="16"/>
      <c r="BM116" s="11"/>
      <c r="BN116" s="12"/>
    </row>
    <row r="117" spans="1:66" ht="16.5" thickBot="1" x14ac:dyDescent="0.3">
      <c r="A117" s="4"/>
      <c r="B117" s="3"/>
      <c r="N117" s="9"/>
      <c r="O117" s="8" t="s">
        <v>115</v>
      </c>
      <c r="P117" s="10">
        <v>7</v>
      </c>
      <c r="Q117" s="18" t="s">
        <v>114</v>
      </c>
      <c r="R117" s="54"/>
      <c r="S117" s="13"/>
      <c r="T117" s="13"/>
      <c r="U117" s="14"/>
      <c r="AC117" s="9"/>
      <c r="AD117" s="9"/>
      <c r="AE117" s="8" t="s">
        <v>115</v>
      </c>
      <c r="AF117" s="10">
        <v>10</v>
      </c>
      <c r="AG117" s="18" t="s">
        <v>114</v>
      </c>
      <c r="AH117" s="13"/>
      <c r="AI117" s="13"/>
      <c r="AJ117" s="14"/>
      <c r="AS117" s="9"/>
      <c r="AT117" s="8" t="s">
        <v>115</v>
      </c>
      <c r="AU117" s="10">
        <v>10</v>
      </c>
      <c r="AV117" s="18" t="s">
        <v>114</v>
      </c>
      <c r="AW117" s="13"/>
      <c r="AX117" s="13"/>
      <c r="AY117" s="14"/>
      <c r="BG117" s="9"/>
      <c r="BH117" s="9"/>
      <c r="BI117" s="8" t="s">
        <v>115</v>
      </c>
      <c r="BJ117" s="10">
        <v>10</v>
      </c>
      <c r="BK117" s="18" t="s">
        <v>114</v>
      </c>
      <c r="BL117" s="13"/>
      <c r="BM117" s="13"/>
      <c r="BN117" s="14"/>
    </row>
    <row r="118" spans="1:66" x14ac:dyDescent="0.25">
      <c r="A118" s="4"/>
      <c r="B118" s="3"/>
      <c r="O118" s="2" t="s">
        <v>116</v>
      </c>
      <c r="P118" s="5">
        <f>SQRT(AVERAGE(P104:P115))</f>
        <v>1.4527324253898257</v>
      </c>
      <c r="AE118" s="2" t="s">
        <v>116</v>
      </c>
      <c r="AF118" s="5" t="e">
        <f>SQRT(AVERAGE(AF104:AF115))</f>
        <v>#DIV/0!</v>
      </c>
      <c r="AT118" s="2" t="s">
        <v>116</v>
      </c>
      <c r="AU118" s="5" t="e">
        <f>SQRT(AVERAGE(AU104:AU115))</f>
        <v>#DIV/0!</v>
      </c>
      <c r="BI118" s="2" t="s">
        <v>116</v>
      </c>
      <c r="BJ118" s="5" t="e">
        <f>SQRT(AVERAGE(BJ104:BJ115))</f>
        <v>#DIV/0!</v>
      </c>
    </row>
    <row r="119" spans="1:66" x14ac:dyDescent="0.25">
      <c r="A119" s="4"/>
      <c r="B119" s="3"/>
      <c r="O119" s="2" t="s">
        <v>117</v>
      </c>
      <c r="P119" s="5">
        <f>2.77*P118</f>
        <v>4.024068818329817</v>
      </c>
      <c r="AE119" s="2" t="s">
        <v>117</v>
      </c>
      <c r="AF119" s="5" t="e">
        <f>2.77*AF118</f>
        <v>#DIV/0!</v>
      </c>
      <c r="AT119" s="2" t="s">
        <v>117</v>
      </c>
      <c r="AU119" s="5" t="e">
        <f>2.77*AU118</f>
        <v>#DIV/0!</v>
      </c>
      <c r="BI119" s="2" t="s">
        <v>117</v>
      </c>
      <c r="BJ119" s="5" t="e">
        <f>2.77*BJ118</f>
        <v>#DIV/0!</v>
      </c>
    </row>
    <row r="120" spans="1:66" x14ac:dyDescent="0.25">
      <c r="A120" s="4"/>
      <c r="B120" s="3"/>
      <c r="O120" s="2" t="s">
        <v>118</v>
      </c>
      <c r="P120" s="5">
        <f>P119-(1.96*(P118/(SQRT(2*P117*(P116-1)))))</f>
        <v>3.6435749275972062</v>
      </c>
      <c r="AE120" s="2" t="s">
        <v>118</v>
      </c>
      <c r="AF120" s="5" t="e">
        <f>AF119-(1.96*(AF118/(SQRT(2*AF117*(AF116-1)))))</f>
        <v>#DIV/0!</v>
      </c>
      <c r="AT120" s="2" t="s">
        <v>118</v>
      </c>
      <c r="AU120" s="5" t="e">
        <f>AU119-(1.96*(AU118/(SQRT(2*AU117*(AU116-1)))))</f>
        <v>#DIV/0!</v>
      </c>
      <c r="BI120" s="2" t="s">
        <v>118</v>
      </c>
      <c r="BJ120" s="5" t="e">
        <f>BJ119-(1.96*(BJ118/(SQRT(2*BJ117*(BJ116-1)))))</f>
        <v>#DIV/0!</v>
      </c>
    </row>
    <row r="121" spans="1:66" x14ac:dyDescent="0.25">
      <c r="A121" s="4"/>
      <c r="B121" s="3"/>
      <c r="O121" s="2" t="s">
        <v>119</v>
      </c>
      <c r="P121" s="5">
        <f>P119+(1.96*(P118/(SQRT(2*P117*(P116-1)))))</f>
        <v>4.4045627090624277</v>
      </c>
      <c r="AE121" s="2" t="s">
        <v>119</v>
      </c>
      <c r="AF121" s="5" t="e">
        <f>AF119+(1.96*(AF118/(SQRT(2*AF117*(AF116-1)))))</f>
        <v>#DIV/0!</v>
      </c>
      <c r="AT121" s="2" t="s">
        <v>119</v>
      </c>
      <c r="AU121" s="5" t="e">
        <f>AU119+(1.96*(AU118/(SQRT(2*AU117*(AU116-1)))))</f>
        <v>#DIV/0!</v>
      </c>
      <c r="BI121" s="2" t="s">
        <v>119</v>
      </c>
      <c r="BJ121" s="5" t="e">
        <f>BJ119+(1.96*(BJ118/(SQRT(2*BJ117*(BJ116-1)))))</f>
        <v>#DIV/0!</v>
      </c>
    </row>
    <row r="126" spans="1:66" x14ac:dyDescent="0.25">
      <c r="B126" s="3" t="s">
        <v>166</v>
      </c>
      <c r="C126" t="s">
        <v>174</v>
      </c>
      <c r="F126">
        <v>40</v>
      </c>
      <c r="G126">
        <v>41</v>
      </c>
      <c r="H126">
        <v>39</v>
      </c>
      <c r="I126">
        <v>44</v>
      </c>
      <c r="J126">
        <v>58</v>
      </c>
      <c r="K126">
        <v>56</v>
      </c>
      <c r="L126">
        <v>53</v>
      </c>
      <c r="M126">
        <v>49</v>
      </c>
      <c r="N126">
        <v>48</v>
      </c>
      <c r="O126">
        <v>50</v>
      </c>
      <c r="P126" s="5">
        <f>IFERROR(STDEVA(D126:H126),#N/A)</f>
        <v>1</v>
      </c>
      <c r="Q126">
        <f>MEDIAN(D126:H126)</f>
        <v>40</v>
      </c>
      <c r="R126" s="2">
        <f>MAX(J126:O126)</f>
        <v>58</v>
      </c>
      <c r="S126" s="27">
        <f>100*(R126-Q126)/Q126</f>
        <v>45</v>
      </c>
      <c r="T126">
        <v>40</v>
      </c>
      <c r="U126">
        <v>43</v>
      </c>
      <c r="V126">
        <v>45</v>
      </c>
      <c r="W126">
        <v>44</v>
      </c>
      <c r="X126">
        <v>45</v>
      </c>
      <c r="Y126">
        <v>42</v>
      </c>
      <c r="Z126">
        <v>48</v>
      </c>
      <c r="AA126">
        <v>48</v>
      </c>
      <c r="AB126">
        <v>47</v>
      </c>
      <c r="AC126">
        <v>45</v>
      </c>
      <c r="AD126">
        <v>46</v>
      </c>
      <c r="AE126">
        <v>44</v>
      </c>
      <c r="AI126">
        <v>49</v>
      </c>
      <c r="AJ126">
        <v>54</v>
      </c>
      <c r="AK126">
        <v>52</v>
      </c>
      <c r="AL126">
        <v>52</v>
      </c>
      <c r="AM126">
        <v>49</v>
      </c>
      <c r="AN126">
        <v>46</v>
      </c>
      <c r="AO126">
        <v>46</v>
      </c>
      <c r="AP126">
        <v>47</v>
      </c>
      <c r="AQ126">
        <v>48</v>
      </c>
      <c r="AR126">
        <v>56</v>
      </c>
      <c r="AS126">
        <v>58</v>
      </c>
      <c r="AT126">
        <v>56</v>
      </c>
      <c r="AX126">
        <v>47</v>
      </c>
      <c r="AY126">
        <v>47</v>
      </c>
      <c r="AZ126">
        <v>52</v>
      </c>
      <c r="BA126">
        <v>47</v>
      </c>
      <c r="BB126">
        <v>47</v>
      </c>
      <c r="BC126">
        <v>46</v>
      </c>
      <c r="BD126">
        <v>47</v>
      </c>
      <c r="BE126">
        <v>55</v>
      </c>
      <c r="BF126">
        <v>53</v>
      </c>
      <c r="BG126">
        <v>51</v>
      </c>
      <c r="BH126">
        <v>53</v>
      </c>
      <c r="BI126">
        <v>50</v>
      </c>
    </row>
    <row r="127" spans="1:66" x14ac:dyDescent="0.25">
      <c r="B127" s="3" t="s">
        <v>166</v>
      </c>
      <c r="C127" t="s">
        <v>175</v>
      </c>
      <c r="D127">
        <v>41</v>
      </c>
      <c r="E127">
        <v>44</v>
      </c>
      <c r="F127">
        <v>45</v>
      </c>
      <c r="G127">
        <v>44</v>
      </c>
      <c r="H127">
        <v>46</v>
      </c>
      <c r="I127">
        <v>42</v>
      </c>
      <c r="J127">
        <v>52</v>
      </c>
      <c r="K127">
        <v>51</v>
      </c>
      <c r="L127">
        <v>51</v>
      </c>
      <c r="M127">
        <v>50</v>
      </c>
      <c r="N127">
        <v>49</v>
      </c>
      <c r="O127">
        <v>49</v>
      </c>
      <c r="P127" s="5">
        <f>IFERROR(STDEVA(D127:H127),#N/A)</f>
        <v>1.8708286933869707</v>
      </c>
      <c r="Q127">
        <f>MEDIAN(D127:H127)</f>
        <v>44</v>
      </c>
      <c r="R127" s="2">
        <f>MAX(J127:O127)</f>
        <v>52</v>
      </c>
      <c r="S127" s="27">
        <f>100*(R127-Q127)/Q127</f>
        <v>18.181818181818183</v>
      </c>
      <c r="T127">
        <v>43</v>
      </c>
      <c r="U127">
        <v>42</v>
      </c>
      <c r="V127">
        <v>42</v>
      </c>
      <c r="W127">
        <v>43</v>
      </c>
      <c r="X127">
        <v>45</v>
      </c>
      <c r="Y127">
        <v>43</v>
      </c>
      <c r="Z127">
        <v>41</v>
      </c>
      <c r="AA127">
        <v>41</v>
      </c>
      <c r="AB127">
        <v>44</v>
      </c>
      <c r="AC127">
        <v>44</v>
      </c>
      <c r="AD127">
        <v>46</v>
      </c>
      <c r="AE127">
        <v>48</v>
      </c>
      <c r="AI127">
        <v>47</v>
      </c>
      <c r="AJ127">
        <v>51</v>
      </c>
      <c r="AK127">
        <v>50</v>
      </c>
      <c r="AL127">
        <v>51</v>
      </c>
      <c r="AM127">
        <v>49</v>
      </c>
      <c r="AN127">
        <v>40</v>
      </c>
      <c r="AO127">
        <v>58</v>
      </c>
      <c r="AP127">
        <v>60</v>
      </c>
      <c r="AQ127">
        <v>57</v>
      </c>
      <c r="AR127">
        <v>53</v>
      </c>
      <c r="AS127">
        <v>49</v>
      </c>
      <c r="AT127">
        <v>51</v>
      </c>
      <c r="AX127">
        <v>45</v>
      </c>
      <c r="AY127">
        <v>47</v>
      </c>
      <c r="AZ127">
        <v>50</v>
      </c>
      <c r="BA127">
        <v>50</v>
      </c>
      <c r="BB127">
        <v>49</v>
      </c>
      <c r="BC127">
        <v>40</v>
      </c>
      <c r="BD127">
        <v>51</v>
      </c>
      <c r="BE127">
        <v>50</v>
      </c>
      <c r="BF127">
        <v>47</v>
      </c>
      <c r="BG127">
        <v>43</v>
      </c>
      <c r="BH127">
        <v>48</v>
      </c>
      <c r="BI127">
        <v>48</v>
      </c>
    </row>
    <row r="128" spans="1:66" x14ac:dyDescent="0.25">
      <c r="B128" s="3" t="s">
        <v>166</v>
      </c>
      <c r="C128" t="s">
        <v>176</v>
      </c>
      <c r="D128">
        <v>44</v>
      </c>
      <c r="E128">
        <v>53</v>
      </c>
      <c r="F128">
        <v>49</v>
      </c>
      <c r="G128">
        <v>46</v>
      </c>
      <c r="H128">
        <v>47</v>
      </c>
      <c r="I128">
        <v>41</v>
      </c>
      <c r="J128">
        <v>47</v>
      </c>
      <c r="K128">
        <v>52</v>
      </c>
      <c r="L128">
        <v>47</v>
      </c>
      <c r="M128">
        <v>52</v>
      </c>
      <c r="N128">
        <v>51</v>
      </c>
      <c r="O128">
        <v>48</v>
      </c>
      <c r="P128" s="5">
        <f>IFERROR(STDEVA(D128:H128),#N/A)</f>
        <v>3.4205262752974139</v>
      </c>
      <c r="Q128">
        <f>MEDIAN(D128:H128)</f>
        <v>47</v>
      </c>
      <c r="R128" s="2">
        <f>MAX(J128:O128)</f>
        <v>52</v>
      </c>
      <c r="S128" s="27">
        <f>100*(R128-Q128)/Q128</f>
        <v>10.638297872340425</v>
      </c>
      <c r="T128">
        <v>42</v>
      </c>
      <c r="U128">
        <v>45</v>
      </c>
      <c r="V128">
        <v>47</v>
      </c>
      <c r="W128">
        <v>53</v>
      </c>
      <c r="X128">
        <v>50</v>
      </c>
      <c r="Y128">
        <v>40</v>
      </c>
      <c r="Z128">
        <v>46</v>
      </c>
      <c r="AA128">
        <v>53</v>
      </c>
      <c r="AB128">
        <v>51</v>
      </c>
      <c r="AC128">
        <v>44</v>
      </c>
      <c r="AD128">
        <v>47</v>
      </c>
      <c r="AE128">
        <v>47</v>
      </c>
      <c r="AI128">
        <v>54</v>
      </c>
      <c r="AJ128">
        <v>49</v>
      </c>
      <c r="AK128">
        <v>49</v>
      </c>
      <c r="AL128">
        <v>49</v>
      </c>
      <c r="AM128">
        <v>50</v>
      </c>
      <c r="AN128">
        <v>42</v>
      </c>
      <c r="AO128">
        <v>57</v>
      </c>
      <c r="AP128">
        <v>55</v>
      </c>
      <c r="AQ128">
        <v>54</v>
      </c>
      <c r="AR128">
        <v>52</v>
      </c>
      <c r="AS128">
        <v>50</v>
      </c>
      <c r="AT128">
        <v>51</v>
      </c>
      <c r="AX128">
        <v>46</v>
      </c>
      <c r="AY128">
        <v>49</v>
      </c>
      <c r="AZ128">
        <v>50</v>
      </c>
      <c r="BA128">
        <v>49</v>
      </c>
      <c r="BB128">
        <v>49</v>
      </c>
      <c r="BC128">
        <v>43</v>
      </c>
      <c r="BD128">
        <v>56</v>
      </c>
      <c r="BE128">
        <v>56</v>
      </c>
      <c r="BF128">
        <v>53</v>
      </c>
      <c r="BG128">
        <v>50</v>
      </c>
      <c r="BH128">
        <v>48</v>
      </c>
      <c r="BI128">
        <v>50</v>
      </c>
    </row>
    <row r="129" spans="2:61" x14ac:dyDescent="0.25">
      <c r="B129" s="3" t="s">
        <v>166</v>
      </c>
      <c r="C129" t="s">
        <v>177</v>
      </c>
      <c r="D129">
        <v>37</v>
      </c>
      <c r="E129">
        <v>40</v>
      </c>
      <c r="F129">
        <v>45</v>
      </c>
      <c r="G129">
        <v>46</v>
      </c>
      <c r="H129">
        <v>46</v>
      </c>
      <c r="I129">
        <v>39</v>
      </c>
      <c r="J129">
        <v>56</v>
      </c>
      <c r="K129">
        <v>54</v>
      </c>
      <c r="L129">
        <v>51</v>
      </c>
      <c r="M129">
        <v>47</v>
      </c>
      <c r="N129">
        <v>46</v>
      </c>
      <c r="O129">
        <v>47</v>
      </c>
      <c r="P129" s="5">
        <f>IFERROR(STDEVA(D129:H129),#N/A)</f>
        <v>4.0865633483405102</v>
      </c>
      <c r="Q129">
        <f>MEDIAN(D129:H129)</f>
        <v>45</v>
      </c>
      <c r="R129" s="2">
        <f>MAX(J129:O129)</f>
        <v>56</v>
      </c>
      <c r="S129" s="27">
        <f>100*(R129-Q129)/Q129</f>
        <v>24.444444444444443</v>
      </c>
    </row>
    <row r="130" spans="2:61" x14ac:dyDescent="0.25">
      <c r="B130" s="3" t="s">
        <v>166</v>
      </c>
      <c r="C130" t="s">
        <v>178</v>
      </c>
      <c r="D130">
        <v>44</v>
      </c>
      <c r="E130">
        <v>44</v>
      </c>
      <c r="F130">
        <v>43</v>
      </c>
      <c r="G130">
        <v>42</v>
      </c>
      <c r="H130">
        <v>47</v>
      </c>
      <c r="I130">
        <v>46</v>
      </c>
      <c r="J130">
        <v>58</v>
      </c>
      <c r="K130">
        <v>57</v>
      </c>
      <c r="L130">
        <v>50</v>
      </c>
      <c r="M130">
        <v>51</v>
      </c>
      <c r="N130">
        <v>50</v>
      </c>
      <c r="O130">
        <v>50</v>
      </c>
      <c r="P130" s="5">
        <f>IFERROR(STDEVA(D130:H130),#N/A)</f>
        <v>1.8708286933869707</v>
      </c>
      <c r="Q130">
        <f>MEDIAN(D130:H130)</f>
        <v>44</v>
      </c>
      <c r="R130" s="2">
        <f>MAX(J130:O130)</f>
        <v>58</v>
      </c>
      <c r="S130" s="27">
        <f>100*(R130-Q130)/Q130</f>
        <v>31.818181818181817</v>
      </c>
      <c r="T130">
        <v>43</v>
      </c>
      <c r="U130">
        <v>46</v>
      </c>
      <c r="V130">
        <v>47</v>
      </c>
      <c r="W130">
        <v>47</v>
      </c>
      <c r="X130">
        <v>45</v>
      </c>
      <c r="Y130">
        <v>45</v>
      </c>
      <c r="Z130">
        <v>57</v>
      </c>
      <c r="AA130">
        <v>58</v>
      </c>
      <c r="AB130">
        <v>58</v>
      </c>
      <c r="AC130">
        <v>55</v>
      </c>
      <c r="AD130">
        <v>55</v>
      </c>
      <c r="AE130">
        <v>51</v>
      </c>
      <c r="AI130">
        <v>41</v>
      </c>
      <c r="AJ130">
        <v>47</v>
      </c>
      <c r="AK130">
        <v>51</v>
      </c>
      <c r="AL130">
        <v>42</v>
      </c>
      <c r="AM130">
        <v>52</v>
      </c>
      <c r="AN130">
        <v>41</v>
      </c>
      <c r="AO130">
        <v>59</v>
      </c>
      <c r="AP130">
        <v>59</v>
      </c>
      <c r="AQ130">
        <v>52</v>
      </c>
      <c r="AR130">
        <v>51</v>
      </c>
      <c r="AS130">
        <v>51</v>
      </c>
      <c r="AT130">
        <v>52</v>
      </c>
      <c r="AX130">
        <v>48</v>
      </c>
      <c r="AY130">
        <v>45</v>
      </c>
      <c r="AZ130">
        <v>47</v>
      </c>
      <c r="BA130">
        <v>47</v>
      </c>
      <c r="BB130">
        <v>48</v>
      </c>
      <c r="BC130">
        <v>39</v>
      </c>
      <c r="BD130">
        <v>59</v>
      </c>
      <c r="BE130">
        <v>57</v>
      </c>
      <c r="BF130">
        <v>57</v>
      </c>
      <c r="BG130">
        <v>55</v>
      </c>
      <c r="BH130">
        <v>58</v>
      </c>
      <c r="BI130">
        <v>56</v>
      </c>
    </row>
  </sheetData>
  <mergeCells count="22">
    <mergeCell ref="AU1:AU2"/>
    <mergeCell ref="A104:A115"/>
    <mergeCell ref="AX1:BI1"/>
    <mergeCell ref="BJ1:BJ2"/>
    <mergeCell ref="D2:H2"/>
    <mergeCell ref="J2:O2"/>
    <mergeCell ref="T2:X2"/>
    <mergeCell ref="Z2:AE2"/>
    <mergeCell ref="AI2:AM2"/>
    <mergeCell ref="AO2:AT2"/>
    <mergeCell ref="AX2:BB2"/>
    <mergeCell ref="BD2:BI2"/>
    <mergeCell ref="D1:O1"/>
    <mergeCell ref="P1:P2"/>
    <mergeCell ref="T1:AE1"/>
    <mergeCell ref="AF1:AF2"/>
    <mergeCell ref="A81:A92"/>
    <mergeCell ref="AI1:AT1"/>
    <mergeCell ref="A4:A15"/>
    <mergeCell ref="A23:A32"/>
    <mergeCell ref="A40:A53"/>
    <mergeCell ref="A61:A7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E184A-0DE0-E14B-AA98-F421D8C65F06}">
  <dimension ref="A2:F128"/>
  <sheetViews>
    <sheetView workbookViewId="0">
      <selection activeCell="G117" sqref="G117"/>
    </sheetView>
  </sheetViews>
  <sheetFormatPr defaultColWidth="11.125" defaultRowHeight="15.75" x14ac:dyDescent="0.25"/>
  <cols>
    <col min="2" max="2" width="13.5" bestFit="1" customWidth="1"/>
    <col min="3" max="3" width="12.125" bestFit="1" customWidth="1"/>
    <col min="4" max="4" width="13.5" style="48" bestFit="1" customWidth="1"/>
  </cols>
  <sheetData>
    <row r="2" spans="1:6" x14ac:dyDescent="0.25">
      <c r="A2" s="19"/>
      <c r="B2" s="19"/>
      <c r="C2" s="19"/>
    </row>
    <row r="3" spans="1:6" x14ac:dyDescent="0.25">
      <c r="A3" s="1" t="s">
        <v>85</v>
      </c>
      <c r="B3" s="1" t="s">
        <v>86</v>
      </c>
      <c r="C3" s="1" t="s">
        <v>0</v>
      </c>
      <c r="D3" s="49" t="s">
        <v>181</v>
      </c>
    </row>
    <row r="4" spans="1:6" x14ac:dyDescent="0.25">
      <c r="A4" s="68" t="s">
        <v>182</v>
      </c>
      <c r="B4" s="3" t="s">
        <v>100</v>
      </c>
      <c r="C4" s="21"/>
    </row>
    <row r="5" spans="1:6" x14ac:dyDescent="0.25">
      <c r="A5" s="68"/>
      <c r="B5" s="3" t="s">
        <v>100</v>
      </c>
      <c r="C5" s="21" t="s">
        <v>101</v>
      </c>
      <c r="D5" s="48">
        <f>('Vessel area density'!R4/'Vessel area density'!Q4*'Vessel Length Density'!R4/'Vessel Length Density'!Q4*'Branchpoint density'!R4/'Branchpoint density'!Q4)-1</f>
        <v>1.0848443313941005</v>
      </c>
      <c r="F5">
        <f t="shared" ref="F5:F13" si="0">10*D5</f>
        <v>10.848443313941004</v>
      </c>
    </row>
    <row r="6" spans="1:6" x14ac:dyDescent="0.25">
      <c r="A6" s="68"/>
      <c r="B6" s="3" t="s">
        <v>100</v>
      </c>
      <c r="C6" s="21" t="s">
        <v>102</v>
      </c>
      <c r="D6" s="48">
        <f>('Vessel area density'!R5/'Vessel area density'!Q5*'Vessel Length Density'!R5/'Vessel Length Density'!Q5*'Branchpoint density'!R5/'Branchpoint density'!Q5)-1</f>
        <v>1.0838548185231542</v>
      </c>
      <c r="F6">
        <f t="shared" si="0"/>
        <v>10.838548185231542</v>
      </c>
    </row>
    <row r="7" spans="1:6" x14ac:dyDescent="0.25">
      <c r="A7" s="68"/>
      <c r="B7" s="3" t="s">
        <v>100</v>
      </c>
      <c r="C7" s="21" t="s">
        <v>103</v>
      </c>
      <c r="D7" s="48">
        <f>('Vessel area density'!R6/'Vessel area density'!Q6*'Vessel Length Density'!R6/'Vessel Length Density'!Q6*'Branchpoint density'!R6/'Branchpoint density'!Q6)-1</f>
        <v>1.9971042471042475</v>
      </c>
      <c r="F7">
        <f t="shared" si="0"/>
        <v>19.971042471042473</v>
      </c>
    </row>
    <row r="8" spans="1:6" x14ac:dyDescent="0.25">
      <c r="A8" s="68"/>
      <c r="B8" s="3" t="s">
        <v>100</v>
      </c>
      <c r="C8" s="21" t="s">
        <v>104</v>
      </c>
      <c r="D8" s="48">
        <f>('Vessel area density'!R7/'Vessel area density'!Q7*'Vessel Length Density'!R7/'Vessel Length Density'!Q7*'Branchpoint density'!R7/'Branchpoint density'!Q7)-1</f>
        <v>0.97610767810943488</v>
      </c>
      <c r="F8">
        <f t="shared" si="0"/>
        <v>9.7610767810943493</v>
      </c>
    </row>
    <row r="9" spans="1:6" x14ac:dyDescent="0.25">
      <c r="A9" s="68"/>
      <c r="B9" s="3" t="s">
        <v>100</v>
      </c>
      <c r="C9" s="21" t="s">
        <v>105</v>
      </c>
      <c r="D9" s="48">
        <f>('Vessel area density'!R8/'Vessel area density'!Q8*'Vessel Length Density'!R8/'Vessel Length Density'!Q8*'Branchpoint density'!R8/'Branchpoint density'!Q8)-1</f>
        <v>7.7589288760020469</v>
      </c>
      <c r="F9">
        <f t="shared" si="0"/>
        <v>77.589288760020466</v>
      </c>
    </row>
    <row r="10" spans="1:6" x14ac:dyDescent="0.25">
      <c r="A10" s="68"/>
      <c r="B10" s="3" t="s">
        <v>100</v>
      </c>
      <c r="C10" s="21" t="s">
        <v>106</v>
      </c>
      <c r="D10" s="48">
        <f>('Vessel area density'!R9/'Vessel area density'!Q9*'Vessel Length Density'!R9/'Vessel Length Density'!Q9*'Branchpoint density'!R9/'Branchpoint density'!Q9)-1</f>
        <v>4.0882510390789939</v>
      </c>
      <c r="F10">
        <f t="shared" si="0"/>
        <v>40.882510390789939</v>
      </c>
    </row>
    <row r="11" spans="1:6" x14ac:dyDescent="0.25">
      <c r="A11" s="68"/>
      <c r="B11" s="3" t="s">
        <v>100</v>
      </c>
      <c r="C11" s="21" t="s">
        <v>107</v>
      </c>
      <c r="D11" s="48">
        <f>('Vessel area density'!R10/'Vessel area density'!Q10*'Vessel Length Density'!R10/'Vessel Length Density'!Q10*'Branchpoint density'!R10/'Branchpoint density'!Q10)-1</f>
        <v>9.9738052568697739</v>
      </c>
      <c r="F11">
        <f t="shared" si="0"/>
        <v>99.738052568697739</v>
      </c>
    </row>
    <row r="12" spans="1:6" x14ac:dyDescent="0.25">
      <c r="A12" s="68"/>
      <c r="B12" s="3" t="s">
        <v>100</v>
      </c>
      <c r="C12" s="21" t="s">
        <v>108</v>
      </c>
      <c r="D12" s="48">
        <f>('Vessel area density'!R11/'Vessel area density'!Q11*'Vessel Length Density'!R11/'Vessel Length Density'!Q11*'Branchpoint density'!R11/'Branchpoint density'!Q11)-1</f>
        <v>1.7616589081675835</v>
      </c>
      <c r="F12">
        <f t="shared" si="0"/>
        <v>17.616589081675833</v>
      </c>
    </row>
    <row r="13" spans="1:6" x14ac:dyDescent="0.25">
      <c r="A13" s="68"/>
      <c r="B13" s="3" t="s">
        <v>100</v>
      </c>
      <c r="C13" s="21" t="s">
        <v>109</v>
      </c>
      <c r="D13" s="48">
        <f>('Vessel area density'!R12/'Vessel area density'!Q12*'Vessel Length Density'!R12/'Vessel Length Density'!Q12*'Branchpoint density'!R12/'Branchpoint density'!Q12)-1</f>
        <v>0.85945104850820608</v>
      </c>
      <c r="F13">
        <f t="shared" si="0"/>
        <v>8.5945104850820613</v>
      </c>
    </row>
    <row r="14" spans="1:6" x14ac:dyDescent="0.25">
      <c r="A14" s="68"/>
      <c r="B14" s="3" t="s">
        <v>100</v>
      </c>
    </row>
    <row r="15" spans="1:6" x14ac:dyDescent="0.25">
      <c r="A15" s="68"/>
      <c r="B15" s="3" t="s">
        <v>100</v>
      </c>
    </row>
    <row r="16" spans="1:6" x14ac:dyDescent="0.25">
      <c r="A16" s="68"/>
      <c r="B16" s="3" t="s">
        <v>100</v>
      </c>
    </row>
    <row r="17" spans="1:6" x14ac:dyDescent="0.25">
      <c r="A17" s="4"/>
      <c r="B17" s="3"/>
    </row>
    <row r="18" spans="1:6" x14ac:dyDescent="0.25">
      <c r="A18" s="4"/>
      <c r="B18" s="3"/>
    </row>
    <row r="19" spans="1:6" x14ac:dyDescent="0.25">
      <c r="A19" s="4"/>
      <c r="B19" s="3"/>
    </row>
    <row r="20" spans="1:6" x14ac:dyDescent="0.25">
      <c r="A20" s="4"/>
      <c r="B20" s="3"/>
    </row>
    <row r="21" spans="1:6" x14ac:dyDescent="0.25">
      <c r="A21" s="4"/>
      <c r="B21" s="3"/>
    </row>
    <row r="22" spans="1:6" x14ac:dyDescent="0.25">
      <c r="A22" s="4"/>
      <c r="B22" s="3"/>
    </row>
    <row r="23" spans="1:6" x14ac:dyDescent="0.25">
      <c r="A23" s="41"/>
      <c r="B23" s="39"/>
      <c r="C23" s="40"/>
    </row>
    <row r="24" spans="1:6" x14ac:dyDescent="0.25">
      <c r="A24" s="73" t="s">
        <v>120</v>
      </c>
      <c r="B24" s="3" t="s">
        <v>100</v>
      </c>
      <c r="C24" s="21" t="s">
        <v>121</v>
      </c>
      <c r="D24" s="48">
        <f>('Vessel area density'!R23/'Vessel area density'!Q23*'Vessel Length Density'!R23/'Vessel Length Density'!Q23*'Branchpoint density'!R23/'Branchpoint density'!Q23)-1</f>
        <v>2.1297300010037135</v>
      </c>
      <c r="F24">
        <f>10*D24</f>
        <v>21.297300010037134</v>
      </c>
    </row>
    <row r="25" spans="1:6" x14ac:dyDescent="0.25">
      <c r="A25" s="73"/>
      <c r="B25" s="3" t="s">
        <v>100</v>
      </c>
      <c r="C25" s="21" t="s">
        <v>122</v>
      </c>
      <c r="D25" s="48">
        <f>('Vessel area density'!R24/'Vessel area density'!Q24*'Vessel Length Density'!R24/'Vessel Length Density'!Q24*'Branchpoint density'!R24/'Branchpoint density'!Q24)-1</f>
        <v>3.3828330700368614</v>
      </c>
      <c r="F25">
        <f>10*D25</f>
        <v>33.82833070036861</v>
      </c>
    </row>
    <row r="26" spans="1:6" x14ac:dyDescent="0.25">
      <c r="A26" s="73"/>
      <c r="B26" s="3" t="s">
        <v>100</v>
      </c>
      <c r="C26" s="21" t="s">
        <v>123</v>
      </c>
      <c r="D26" s="48">
        <f>('Vessel area density'!R25/'Vessel area density'!Q25*'Vessel Length Density'!R25/'Vessel Length Density'!Q25*'Branchpoint density'!R25/'Branchpoint density'!Q25)-1</f>
        <v>16.749604743083001</v>
      </c>
      <c r="F26">
        <f>10*D26</f>
        <v>167.49604743083</v>
      </c>
    </row>
    <row r="27" spans="1:6" x14ac:dyDescent="0.25">
      <c r="A27" s="73"/>
      <c r="B27" s="3" t="s">
        <v>100</v>
      </c>
      <c r="C27" s="21" t="s">
        <v>124</v>
      </c>
      <c r="D27" s="48">
        <f>('Vessel area density'!R26/'Vessel area density'!Q26*'Vessel Length Density'!R26/'Vessel Length Density'!Q26*'Branchpoint density'!R26/'Branchpoint density'!Q26)-1</f>
        <v>1.1863825200543814</v>
      </c>
      <c r="F27">
        <f>10*D27</f>
        <v>11.863825200543815</v>
      </c>
    </row>
    <row r="28" spans="1:6" x14ac:dyDescent="0.25">
      <c r="A28" s="73"/>
      <c r="B28" s="3" t="s">
        <v>100</v>
      </c>
      <c r="C28" s="21" t="s">
        <v>125</v>
      </c>
      <c r="D28" s="48">
        <f>('Vessel area density'!R27/'Vessel area density'!Q27*'Vessel Length Density'!R27/'Vessel Length Density'!Q27*'Branchpoint density'!R27/'Branchpoint density'!Q27)-1</f>
        <v>-0.50246671426656508</v>
      </c>
      <c r="F28">
        <f>-10*D28</f>
        <v>5.0246671426656508</v>
      </c>
    </row>
    <row r="29" spans="1:6" x14ac:dyDescent="0.25">
      <c r="A29" s="73"/>
      <c r="B29" s="3" t="s">
        <v>100</v>
      </c>
      <c r="C29" s="21" t="s">
        <v>126</v>
      </c>
      <c r="D29" s="48">
        <f>('Vessel area density'!R28/'Vessel area density'!Q28*'Vessel Length Density'!R28/'Vessel Length Density'!Q28*'Branchpoint density'!R28/'Branchpoint density'!Q28)-1</f>
        <v>2.1841689696012634</v>
      </c>
      <c r="F29">
        <f>10*D29</f>
        <v>21.841689696012633</v>
      </c>
    </row>
    <row r="30" spans="1:6" x14ac:dyDescent="0.25">
      <c r="A30" s="73"/>
      <c r="B30" s="3" t="s">
        <v>100</v>
      </c>
      <c r="C30" s="21" t="s">
        <v>127</v>
      </c>
      <c r="D30" s="48">
        <f>('Vessel area density'!R29/'Vessel area density'!Q29*'Vessel Length Density'!R29/'Vessel Length Density'!Q29*'Branchpoint density'!R29/'Branchpoint density'!Q29)-1</f>
        <v>2.1793322734499205</v>
      </c>
      <c r="F30">
        <f>10*D30</f>
        <v>21.793322734499206</v>
      </c>
    </row>
    <row r="31" spans="1:6" x14ac:dyDescent="0.25">
      <c r="A31" s="73"/>
      <c r="B31" s="3" t="s">
        <v>100</v>
      </c>
    </row>
    <row r="32" spans="1:6" x14ac:dyDescent="0.25">
      <c r="A32" s="73"/>
      <c r="B32" s="3" t="s">
        <v>100</v>
      </c>
    </row>
    <row r="33" spans="1:6" x14ac:dyDescent="0.25">
      <c r="A33" s="73"/>
      <c r="B33" s="3" t="s">
        <v>100</v>
      </c>
    </row>
    <row r="34" spans="1:6" x14ac:dyDescent="0.25">
      <c r="A34" s="73"/>
      <c r="B34" s="3" t="s">
        <v>100</v>
      </c>
    </row>
    <row r="35" spans="1:6" x14ac:dyDescent="0.25">
      <c r="A35" s="73"/>
      <c r="B35" s="3" t="s">
        <v>100</v>
      </c>
    </row>
    <row r="36" spans="1:6" x14ac:dyDescent="0.25">
      <c r="A36" s="73"/>
      <c r="B36" s="3" t="s">
        <v>100</v>
      </c>
    </row>
    <row r="37" spans="1:6" x14ac:dyDescent="0.25">
      <c r="A37" s="4"/>
      <c r="B37" s="3"/>
    </row>
    <row r="38" spans="1:6" x14ac:dyDescent="0.25">
      <c r="A38" s="4"/>
      <c r="B38" s="3"/>
    </row>
    <row r="39" spans="1:6" x14ac:dyDescent="0.25">
      <c r="A39" s="4"/>
      <c r="B39" s="3"/>
    </row>
    <row r="40" spans="1:6" x14ac:dyDescent="0.25">
      <c r="A40" s="4"/>
      <c r="B40" s="3"/>
    </row>
    <row r="41" spans="1:6" x14ac:dyDescent="0.25">
      <c r="A41" s="4"/>
      <c r="B41" s="3"/>
    </row>
    <row r="42" spans="1:6" x14ac:dyDescent="0.25">
      <c r="A42" s="4"/>
      <c r="B42" s="3"/>
    </row>
    <row r="43" spans="1:6" x14ac:dyDescent="0.25">
      <c r="A43" s="41"/>
      <c r="B43" s="39"/>
      <c r="C43" s="40"/>
    </row>
    <row r="44" spans="1:6" x14ac:dyDescent="0.25">
      <c r="A44" s="68" t="s">
        <v>128</v>
      </c>
      <c r="B44" s="3" t="s">
        <v>100</v>
      </c>
      <c r="C44" s="21" t="s">
        <v>129</v>
      </c>
      <c r="D44" s="48">
        <f>('Vessel area density'!R40/'Vessel area density'!Q40*'Vessel Length Density'!R40/'Vessel Length Density'!Q40*'Branchpoint density'!R40/'Branchpoint density'!Q40)-1</f>
        <v>1.2897225618230426</v>
      </c>
      <c r="F44">
        <f t="shared" ref="F44:F54" si="1">10*D44</f>
        <v>12.897225618230426</v>
      </c>
    </row>
    <row r="45" spans="1:6" x14ac:dyDescent="0.25">
      <c r="A45" s="68"/>
      <c r="B45" s="3" t="s">
        <v>100</v>
      </c>
      <c r="C45" s="21" t="s">
        <v>130</v>
      </c>
      <c r="D45" s="48">
        <f>('Vessel area density'!R41/'Vessel area density'!Q41*'Vessel Length Density'!R41/'Vessel Length Density'!Q41*'Branchpoint density'!R41/'Branchpoint density'!Q41)-1</f>
        <v>18.032044713553798</v>
      </c>
      <c r="F45">
        <f t="shared" si="1"/>
        <v>180.32044713553799</v>
      </c>
    </row>
    <row r="46" spans="1:6" x14ac:dyDescent="0.25">
      <c r="A46" s="68"/>
      <c r="B46" s="3" t="s">
        <v>100</v>
      </c>
      <c r="C46" s="21" t="s">
        <v>131</v>
      </c>
      <c r="D46" s="48">
        <f>('Vessel area density'!R42/'Vessel area density'!Q42*'Vessel Length Density'!R42/'Vessel Length Density'!Q42*'Branchpoint density'!R42/'Branchpoint density'!Q42)-1</f>
        <v>5.2403071364046987</v>
      </c>
      <c r="F46">
        <f t="shared" si="1"/>
        <v>52.403071364046987</v>
      </c>
    </row>
    <row r="47" spans="1:6" x14ac:dyDescent="0.25">
      <c r="A47" s="68"/>
      <c r="B47" s="3" t="s">
        <v>100</v>
      </c>
      <c r="C47" s="21" t="s">
        <v>132</v>
      </c>
      <c r="D47" s="48">
        <f>('Vessel area density'!R43/'Vessel area density'!Q43*'Vessel Length Density'!R43/'Vessel Length Density'!Q43*'Branchpoint density'!R43/'Branchpoint density'!Q43)-1</f>
        <v>7.1474151539068664</v>
      </c>
      <c r="F47">
        <f t="shared" si="1"/>
        <v>71.474151539068657</v>
      </c>
    </row>
    <row r="48" spans="1:6" x14ac:dyDescent="0.25">
      <c r="A48" s="68"/>
      <c r="B48" s="3" t="s">
        <v>100</v>
      </c>
      <c r="C48" s="21" t="s">
        <v>133</v>
      </c>
      <c r="D48" s="48">
        <f>('Vessel area density'!R44/'Vessel area density'!Q44*'Vessel Length Density'!R44/'Vessel Length Density'!Q44*'Branchpoint density'!R44/'Branchpoint density'!Q44)-1</f>
        <v>2.4399641577060938</v>
      </c>
      <c r="F48">
        <f t="shared" si="1"/>
        <v>24.399641577060937</v>
      </c>
    </row>
    <row r="49" spans="1:6" x14ac:dyDescent="0.25">
      <c r="A49" s="68"/>
      <c r="B49" s="3" t="s">
        <v>100</v>
      </c>
      <c r="C49" s="21" t="s">
        <v>134</v>
      </c>
      <c r="D49" s="48">
        <f>('Vessel area density'!R45/'Vessel area density'!Q45*'Vessel Length Density'!R45/'Vessel Length Density'!Q45*'Branchpoint density'!R45/'Branchpoint density'!Q45)-1</f>
        <v>5.9181366433967133</v>
      </c>
      <c r="F49">
        <f t="shared" si="1"/>
        <v>59.181366433967135</v>
      </c>
    </row>
    <row r="50" spans="1:6" x14ac:dyDescent="0.25">
      <c r="A50" s="68"/>
      <c r="B50" s="3" t="s">
        <v>100</v>
      </c>
      <c r="C50" s="21" t="s">
        <v>135</v>
      </c>
      <c r="D50" s="48">
        <f>('Vessel area density'!R46/'Vessel area density'!Q46*'Vessel Length Density'!R46/'Vessel Length Density'!Q46*'Branchpoint density'!R46/'Branchpoint density'!Q46)-1</f>
        <v>2.6028599963816124</v>
      </c>
      <c r="F50">
        <f t="shared" si="1"/>
        <v>26.028599963816124</v>
      </c>
    </row>
    <row r="51" spans="1:6" x14ac:dyDescent="0.25">
      <c r="A51" s="68"/>
      <c r="B51" s="3" t="s">
        <v>100</v>
      </c>
      <c r="C51" s="21" t="s">
        <v>136</v>
      </c>
      <c r="D51" s="48">
        <f>('Vessel area density'!R47/'Vessel area density'!Q47*'Vessel Length Density'!R47/'Vessel Length Density'!Q47*'Branchpoint density'!R47/'Branchpoint density'!Q47)-1</f>
        <v>3.0301659125188545</v>
      </c>
      <c r="F51">
        <f t="shared" si="1"/>
        <v>30.301659125188543</v>
      </c>
    </row>
    <row r="52" spans="1:6" x14ac:dyDescent="0.25">
      <c r="A52" s="68"/>
      <c r="B52" s="3" t="s">
        <v>100</v>
      </c>
      <c r="C52" s="21" t="s">
        <v>137</v>
      </c>
      <c r="D52" s="48">
        <f>('Vessel area density'!R48/'Vessel area density'!Q48*'Vessel Length Density'!R48/'Vessel Length Density'!Q48*'Branchpoint density'!R48/'Branchpoint density'!Q48)-1</f>
        <v>1.4011621515508441</v>
      </c>
      <c r="F52">
        <f t="shared" si="1"/>
        <v>14.011621515508441</v>
      </c>
    </row>
    <row r="53" spans="1:6" x14ac:dyDescent="0.25">
      <c r="A53" s="68"/>
      <c r="B53" s="3" t="s">
        <v>100</v>
      </c>
      <c r="C53" s="21" t="s">
        <v>138</v>
      </c>
      <c r="D53" s="48">
        <f>('Vessel area density'!R49/'Vessel area density'!Q49*'Vessel Length Density'!R49/'Vessel Length Density'!Q49*'Branchpoint density'!R49/'Branchpoint density'!Q49)-1</f>
        <v>2.0345804328197357</v>
      </c>
      <c r="F53">
        <f t="shared" si="1"/>
        <v>20.345804328197357</v>
      </c>
    </row>
    <row r="54" spans="1:6" x14ac:dyDescent="0.25">
      <c r="A54" s="68"/>
      <c r="B54" s="3" t="s">
        <v>100</v>
      </c>
      <c r="C54" s="21" t="s">
        <v>139</v>
      </c>
      <c r="D54" s="48">
        <f>('Vessel area density'!R50/'Vessel area density'!Q50*'Vessel Length Density'!R50/'Vessel Length Density'!Q50*'Branchpoint density'!R50/'Branchpoint density'!Q50)-1</f>
        <v>3.0809530685920574</v>
      </c>
      <c r="F54">
        <f t="shared" si="1"/>
        <v>30.809530685920574</v>
      </c>
    </row>
    <row r="55" spans="1:6" x14ac:dyDescent="0.25">
      <c r="A55" s="68"/>
      <c r="B55" s="3" t="s">
        <v>100</v>
      </c>
    </row>
    <row r="56" spans="1:6" x14ac:dyDescent="0.25">
      <c r="A56" s="68"/>
      <c r="B56" s="3" t="s">
        <v>100</v>
      </c>
    </row>
    <row r="57" spans="1:6" x14ac:dyDescent="0.25">
      <c r="A57" s="64"/>
      <c r="B57" s="3"/>
    </row>
    <row r="58" spans="1:6" x14ac:dyDescent="0.25">
      <c r="A58" s="4"/>
      <c r="B58" s="3"/>
    </row>
    <row r="59" spans="1:6" x14ac:dyDescent="0.25">
      <c r="A59" s="4"/>
      <c r="B59" s="3"/>
    </row>
    <row r="60" spans="1:6" x14ac:dyDescent="0.25">
      <c r="A60" s="4"/>
      <c r="B60" s="3"/>
    </row>
    <row r="61" spans="1:6" x14ac:dyDescent="0.25">
      <c r="A61" s="4"/>
      <c r="B61" s="3"/>
    </row>
    <row r="62" spans="1:6" x14ac:dyDescent="0.25">
      <c r="A62" s="4"/>
      <c r="B62" s="3"/>
    </row>
    <row r="63" spans="1:6" x14ac:dyDescent="0.25">
      <c r="A63" s="4"/>
      <c r="B63" s="3"/>
    </row>
    <row r="64" spans="1:6" x14ac:dyDescent="0.25">
      <c r="A64" s="41"/>
      <c r="B64" s="39"/>
      <c r="C64" s="40"/>
    </row>
    <row r="65" spans="1:6" x14ac:dyDescent="0.25">
      <c r="A65" s="73" t="s">
        <v>140</v>
      </c>
      <c r="B65" s="3" t="s">
        <v>100</v>
      </c>
      <c r="C65" s="21" t="s">
        <v>141</v>
      </c>
      <c r="D65" s="48">
        <f>('Vessel area density'!R61/'Vessel area density'!Q61*'Vessel Length Density'!R61/'Vessel Length Density'!Q61*'Branchpoint density'!R61/'Branchpoint density'!Q61)-1</f>
        <v>2.654007015009078</v>
      </c>
      <c r="F65">
        <f t="shared" ref="F65:F74" si="2">10*D65</f>
        <v>26.540070150090781</v>
      </c>
    </row>
    <row r="66" spans="1:6" x14ac:dyDescent="0.25">
      <c r="A66" s="73"/>
      <c r="B66" s="3" t="s">
        <v>100</v>
      </c>
      <c r="C66" s="21" t="s">
        <v>142</v>
      </c>
      <c r="D66" s="48">
        <f>('Vessel area density'!R62/'Vessel area density'!Q62*'Vessel Length Density'!R62/'Vessel Length Density'!Q62*'Branchpoint density'!R62/'Branchpoint density'!Q62)-1</f>
        <v>8.6350015468456238</v>
      </c>
      <c r="F66">
        <f t="shared" si="2"/>
        <v>86.350015468456235</v>
      </c>
    </row>
    <row r="67" spans="1:6" x14ac:dyDescent="0.25">
      <c r="A67" s="73"/>
      <c r="B67" s="3" t="s">
        <v>100</v>
      </c>
      <c r="C67" s="21" t="s">
        <v>143</v>
      </c>
      <c r="D67" s="48">
        <f>('Vessel area density'!R63/'Vessel area density'!Q63*'Vessel Length Density'!R63/'Vessel Length Density'!Q63*'Branchpoint density'!R63/'Branchpoint density'!Q63)-1</f>
        <v>2.1152827278831747</v>
      </c>
      <c r="F67">
        <f t="shared" si="2"/>
        <v>21.152827278831747</v>
      </c>
    </row>
    <row r="68" spans="1:6" x14ac:dyDescent="0.25">
      <c r="A68" s="73"/>
      <c r="B68" s="3" t="s">
        <v>100</v>
      </c>
      <c r="C68" s="21" t="s">
        <v>144</v>
      </c>
      <c r="D68" s="48">
        <f>('Vessel area density'!R64/'Vessel area density'!Q64*'Vessel Length Density'!R64/'Vessel Length Density'!Q64*'Branchpoint density'!R64/'Branchpoint density'!Q64)-1</f>
        <v>0.56757592945908297</v>
      </c>
      <c r="F68">
        <f t="shared" si="2"/>
        <v>5.6757592945908293</v>
      </c>
    </row>
    <row r="69" spans="1:6" x14ac:dyDescent="0.25">
      <c r="A69" s="73"/>
      <c r="B69" s="3" t="s">
        <v>100</v>
      </c>
      <c r="C69" s="21" t="s">
        <v>145</v>
      </c>
      <c r="D69" s="48">
        <f>('Vessel area density'!R65/'Vessel area density'!Q65*'Vessel Length Density'!R65/'Vessel Length Density'!Q65*'Branchpoint density'!R65/'Branchpoint density'!Q65)-1</f>
        <v>1.7818774097096544</v>
      </c>
      <c r="F69">
        <f t="shared" si="2"/>
        <v>17.818774097096544</v>
      </c>
    </row>
    <row r="70" spans="1:6" x14ac:dyDescent="0.25">
      <c r="A70" s="73"/>
      <c r="B70" s="3" t="s">
        <v>100</v>
      </c>
      <c r="C70" s="21" t="s">
        <v>146</v>
      </c>
      <c r="D70" s="48">
        <f>('Vessel area density'!R66/'Vessel area density'!Q66*'Vessel Length Density'!R66/'Vessel Length Density'!Q66*'Branchpoint density'!R66/'Branchpoint density'!Q66)-1</f>
        <v>3.1625591272603319</v>
      </c>
      <c r="F70">
        <f t="shared" si="2"/>
        <v>31.625591272603319</v>
      </c>
    </row>
    <row r="71" spans="1:6" x14ac:dyDescent="0.25">
      <c r="A71" s="73"/>
      <c r="B71" s="3" t="s">
        <v>100</v>
      </c>
      <c r="C71" s="21" t="s">
        <v>147</v>
      </c>
      <c r="D71" s="48">
        <f>('Vessel area density'!R67/'Vessel area density'!Q67*'Vessel Length Density'!R67/'Vessel Length Density'!Q67*'Branchpoint density'!R67/'Branchpoint density'!Q67)-1</f>
        <v>4.4059259259259251</v>
      </c>
      <c r="F71">
        <f t="shared" si="2"/>
        <v>44.05925925925925</v>
      </c>
    </row>
    <row r="72" spans="1:6" x14ac:dyDescent="0.25">
      <c r="A72" s="73"/>
      <c r="B72" s="3" t="s">
        <v>100</v>
      </c>
      <c r="C72" s="21" t="s">
        <v>148</v>
      </c>
      <c r="D72" s="48">
        <f>('Vessel area density'!R68/'Vessel area density'!Q68*'Vessel Length Density'!R68/'Vessel Length Density'!Q68*'Branchpoint density'!R68/'Branchpoint density'!Q68)-1</f>
        <v>4.9450292397660816</v>
      </c>
      <c r="F72">
        <f t="shared" si="2"/>
        <v>49.450292397660817</v>
      </c>
    </row>
    <row r="73" spans="1:6" x14ac:dyDescent="0.25">
      <c r="A73" s="73"/>
      <c r="B73" s="3" t="s">
        <v>100</v>
      </c>
      <c r="C73" s="21" t="s">
        <v>149</v>
      </c>
      <c r="D73" s="48">
        <f>('Vessel area density'!R69/'Vessel area density'!Q69*'Vessel Length Density'!R69/'Vessel Length Density'!Q69*'Branchpoint density'!R69/'Branchpoint density'!Q69)-1</f>
        <v>1.3607571214392804</v>
      </c>
      <c r="F73">
        <f t="shared" si="2"/>
        <v>13.607571214392804</v>
      </c>
    </row>
    <row r="74" spans="1:6" x14ac:dyDescent="0.25">
      <c r="A74" s="73"/>
      <c r="B74" s="3" t="s">
        <v>100</v>
      </c>
      <c r="C74" s="21" t="s">
        <v>150</v>
      </c>
      <c r="D74" s="48">
        <f>('Vessel area density'!R70/'Vessel area density'!Q70*'Vessel Length Density'!R70/'Vessel Length Density'!Q70*'Branchpoint density'!R70/'Branchpoint density'!Q70)-1</f>
        <v>1.365038229790299</v>
      </c>
      <c r="F74">
        <f t="shared" si="2"/>
        <v>13.65038229790299</v>
      </c>
    </row>
    <row r="75" spans="1:6" x14ac:dyDescent="0.25">
      <c r="A75" s="73"/>
      <c r="B75" s="3" t="s">
        <v>100</v>
      </c>
      <c r="C75" s="21"/>
    </row>
    <row r="76" spans="1:6" x14ac:dyDescent="0.25">
      <c r="A76" s="73"/>
      <c r="B76" s="3" t="s">
        <v>100</v>
      </c>
    </row>
    <row r="77" spans="1:6" x14ac:dyDescent="0.25">
      <c r="A77" s="73"/>
      <c r="B77" s="3" t="s">
        <v>100</v>
      </c>
    </row>
    <row r="78" spans="1:6" x14ac:dyDescent="0.25">
      <c r="A78" s="4"/>
      <c r="B78" s="3"/>
    </row>
    <row r="79" spans="1:6" x14ac:dyDescent="0.25">
      <c r="A79" s="4"/>
      <c r="B79" s="3"/>
    </row>
    <row r="80" spans="1:6" x14ac:dyDescent="0.25">
      <c r="A80" s="4"/>
      <c r="B80" s="3"/>
    </row>
    <row r="81" spans="1:6" x14ac:dyDescent="0.25">
      <c r="A81" s="4"/>
      <c r="B81" s="3"/>
    </row>
    <row r="82" spans="1:6" x14ac:dyDescent="0.25">
      <c r="A82" s="4"/>
      <c r="B82" s="3"/>
    </row>
    <row r="83" spans="1:6" x14ac:dyDescent="0.25">
      <c r="A83" s="4"/>
      <c r="B83" s="3"/>
    </row>
    <row r="84" spans="1:6" x14ac:dyDescent="0.25">
      <c r="A84" s="41"/>
      <c r="B84" s="39"/>
      <c r="C84" s="40"/>
    </row>
    <row r="85" spans="1:6" x14ac:dyDescent="0.25">
      <c r="A85" s="68" t="s">
        <v>151</v>
      </c>
      <c r="B85" s="3" t="s">
        <v>100</v>
      </c>
      <c r="C85" s="21" t="s">
        <v>152</v>
      </c>
      <c r="D85" s="48">
        <f>('Vessel area density'!R81/'Vessel area density'!Q81*'Vessel Length Density'!R81/'Vessel Length Density'!Q81*'Branchpoint density'!R81/'Branchpoint density'!Q81)-1</f>
        <v>0.55141792631101505</v>
      </c>
      <c r="F85">
        <f>10*D85</f>
        <v>5.5141792631101509</v>
      </c>
    </row>
    <row r="86" spans="1:6" x14ac:dyDescent="0.25">
      <c r="A86" s="68"/>
      <c r="B86" s="3" t="s">
        <v>100</v>
      </c>
      <c r="C86" s="21" t="s">
        <v>153</v>
      </c>
      <c r="D86" s="48">
        <f>('Vessel area density'!R82/'Vessel area density'!Q82*'Vessel Length Density'!R82/'Vessel Length Density'!Q82*'Branchpoint density'!R82/'Branchpoint density'!Q82)-1</f>
        <v>0.11835598292694871</v>
      </c>
      <c r="F86">
        <f>10*D86</f>
        <v>1.1835598292694871</v>
      </c>
    </row>
    <row r="87" spans="1:6" x14ac:dyDescent="0.25">
      <c r="A87" s="68"/>
      <c r="B87" s="3" t="s">
        <v>100</v>
      </c>
      <c r="C87" s="21" t="s">
        <v>154</v>
      </c>
      <c r="D87" s="48">
        <f>('Vessel area density'!R83/'Vessel area density'!Q83*'Vessel Length Density'!R83/'Vessel Length Density'!Q83*'Branchpoint density'!R83/'Branchpoint density'!Q83)-1</f>
        <v>4.8407928388746795</v>
      </c>
      <c r="F87">
        <f>10*D87</f>
        <v>48.407928388746797</v>
      </c>
    </row>
    <row r="88" spans="1:6" x14ac:dyDescent="0.25">
      <c r="A88" s="68"/>
      <c r="B88" s="3" t="s">
        <v>100</v>
      </c>
      <c r="C88" s="21" t="s">
        <v>155</v>
      </c>
      <c r="D88" s="48">
        <f>('Vessel area density'!R84/'Vessel area density'!Q84*'Vessel Length Density'!R84/'Vessel Length Density'!Q84*'Branchpoint density'!R84/'Branchpoint density'!Q84)-1</f>
        <v>6.0269385026737972</v>
      </c>
      <c r="F88">
        <f>10*D88</f>
        <v>60.269385026737972</v>
      </c>
    </row>
    <row r="89" spans="1:6" x14ac:dyDescent="0.25">
      <c r="A89" s="68"/>
      <c r="B89" s="3" t="s">
        <v>100</v>
      </c>
      <c r="C89" s="21" t="s">
        <v>183</v>
      </c>
    </row>
    <row r="90" spans="1:6" x14ac:dyDescent="0.25">
      <c r="A90" s="68"/>
      <c r="B90" s="3" t="s">
        <v>100</v>
      </c>
      <c r="C90" s="21" t="s">
        <v>156</v>
      </c>
      <c r="D90" s="48">
        <f>('Vessel area density'!R85/'Vessel area density'!Q85*'Vessel Length Density'!R85/'Vessel Length Density'!Q85*'Branchpoint density'!R85/'Branchpoint density'!Q85)-1</f>
        <v>1.9017081720503781</v>
      </c>
      <c r="F90">
        <f t="shared" ref="F90:F98" si="3">10*D90</f>
        <v>19.017081720503782</v>
      </c>
    </row>
    <row r="91" spans="1:6" x14ac:dyDescent="0.25">
      <c r="A91" s="68"/>
      <c r="B91" s="3" t="s">
        <v>100</v>
      </c>
      <c r="C91" s="21" t="s">
        <v>157</v>
      </c>
      <c r="D91" s="48">
        <f>('Vessel area density'!R86/'Vessel area density'!Q86*'Vessel Length Density'!R86/'Vessel Length Density'!Q86*'Branchpoint density'!R86/'Branchpoint density'!Q86)-1</f>
        <v>2.0332619880086678</v>
      </c>
      <c r="F91">
        <f t="shared" si="3"/>
        <v>20.332619880086678</v>
      </c>
    </row>
    <row r="92" spans="1:6" x14ac:dyDescent="0.25">
      <c r="A92" s="68"/>
      <c r="B92" s="3" t="s">
        <v>100</v>
      </c>
      <c r="C92" s="21" t="s">
        <v>158</v>
      </c>
      <c r="D92" s="48">
        <f>('Vessel area density'!R87/'Vessel area density'!Q87*'Vessel Length Density'!R87/'Vessel Length Density'!Q87*'Branchpoint density'!R87/'Branchpoint density'!Q87)-1</f>
        <v>3.9321238239450267</v>
      </c>
      <c r="F92">
        <f t="shared" si="3"/>
        <v>39.321238239450267</v>
      </c>
    </row>
    <row r="93" spans="1:6" x14ac:dyDescent="0.25">
      <c r="A93" s="68"/>
      <c r="B93" s="3" t="s">
        <v>100</v>
      </c>
      <c r="C93" s="21" t="s">
        <v>159</v>
      </c>
      <c r="D93" s="48">
        <f>('Vessel area density'!R88/'Vessel area density'!Q88*'Vessel Length Density'!R88/'Vessel Length Density'!Q88*'Branchpoint density'!R88/'Branchpoint density'!Q88)-1</f>
        <v>1.6882866741321387</v>
      </c>
      <c r="F93">
        <f t="shared" si="3"/>
        <v>16.882866741321386</v>
      </c>
    </row>
    <row r="94" spans="1:6" x14ac:dyDescent="0.25">
      <c r="A94" s="68"/>
      <c r="B94" s="3" t="s">
        <v>100</v>
      </c>
      <c r="C94" s="21" t="s">
        <v>160</v>
      </c>
      <c r="D94" s="48">
        <f>('Vessel area density'!R89/'Vessel area density'!Q89*'Vessel Length Density'!R89/'Vessel Length Density'!Q89*'Branchpoint density'!R89/'Branchpoint density'!Q89)-1</f>
        <v>5.9799417332312075</v>
      </c>
      <c r="F94">
        <f t="shared" si="3"/>
        <v>59.799417332312075</v>
      </c>
    </row>
    <row r="95" spans="1:6" x14ac:dyDescent="0.25">
      <c r="A95" s="68"/>
      <c r="B95" s="3" t="s">
        <v>100</v>
      </c>
      <c r="C95" s="21" t="s">
        <v>161</v>
      </c>
      <c r="D95" s="48">
        <f>('Vessel area density'!R90/'Vessel area density'!Q90*'Vessel Length Density'!R90/'Vessel Length Density'!Q90*'Branchpoint density'!R90/'Branchpoint density'!Q90)-1</f>
        <v>5.88112260419833E-2</v>
      </c>
      <c r="F95">
        <f t="shared" si="3"/>
        <v>0.588112260419833</v>
      </c>
    </row>
    <row r="96" spans="1:6" x14ac:dyDescent="0.25">
      <c r="A96" s="68"/>
      <c r="B96" s="3" t="s">
        <v>100</v>
      </c>
      <c r="C96" s="21" t="s">
        <v>162</v>
      </c>
      <c r="D96" s="48">
        <f>('Vessel area density'!R91/'Vessel area density'!Q91*'Vessel Length Density'!R91/'Vessel Length Density'!Q91*'Branchpoint density'!R91/'Branchpoint density'!Q91)-1</f>
        <v>3.957009141024896</v>
      </c>
      <c r="F96">
        <f t="shared" si="3"/>
        <v>39.570091410248963</v>
      </c>
    </row>
    <row r="97" spans="1:6" x14ac:dyDescent="0.25">
      <c r="A97" s="68"/>
      <c r="B97" s="3" t="s">
        <v>100</v>
      </c>
      <c r="C97" s="21" t="s">
        <v>163</v>
      </c>
      <c r="D97" s="48">
        <f>('Vessel area density'!R92/'Vessel area density'!Q92*'Vessel Length Density'!R92/'Vessel Length Density'!Q92*'Branchpoint density'!R92/'Branchpoint density'!Q92)-1</f>
        <v>2.9947703036593727</v>
      </c>
      <c r="F97">
        <f t="shared" si="3"/>
        <v>29.947703036593726</v>
      </c>
    </row>
    <row r="98" spans="1:6" x14ac:dyDescent="0.25">
      <c r="A98" s="4"/>
      <c r="B98" s="3" t="s">
        <v>100</v>
      </c>
      <c r="C98" s="21" t="s">
        <v>164</v>
      </c>
      <c r="D98" s="48">
        <f>('Vessel area density'!R93/'Vessel area density'!Q93*'Vessel Length Density'!R93/'Vessel Length Density'!Q93*'Branchpoint density'!R93/'Branchpoint density'!Q93)-1</f>
        <v>5.0689457289371296</v>
      </c>
      <c r="F98">
        <f t="shared" si="3"/>
        <v>50.689457289371298</v>
      </c>
    </row>
    <row r="99" spans="1:6" x14ac:dyDescent="0.25">
      <c r="A99" s="4"/>
      <c r="B99" s="3"/>
      <c r="C99" s="21"/>
    </row>
    <row r="100" spans="1:6" x14ac:dyDescent="0.25">
      <c r="A100" s="4"/>
      <c r="B100" s="3"/>
      <c r="C100" s="21"/>
    </row>
    <row r="101" spans="1:6" x14ac:dyDescent="0.25">
      <c r="A101" s="4"/>
      <c r="B101" s="3"/>
      <c r="C101" s="21"/>
    </row>
    <row r="102" spans="1:6" x14ac:dyDescent="0.25">
      <c r="A102" s="4"/>
      <c r="B102" s="3"/>
    </row>
    <row r="103" spans="1:6" x14ac:dyDescent="0.25">
      <c r="A103" s="4"/>
      <c r="B103" s="3"/>
    </row>
    <row r="104" spans="1:6" x14ac:dyDescent="0.25">
      <c r="A104" s="4"/>
      <c r="B104" s="3"/>
    </row>
    <row r="105" spans="1:6" x14ac:dyDescent="0.25">
      <c r="A105" s="4"/>
      <c r="B105" s="3"/>
    </row>
    <row r="106" spans="1:6" x14ac:dyDescent="0.25">
      <c r="A106" s="4"/>
      <c r="B106" s="3"/>
    </row>
    <row r="107" spans="1:6" x14ac:dyDescent="0.25">
      <c r="A107" s="41"/>
      <c r="B107" s="39"/>
      <c r="C107" s="40"/>
    </row>
    <row r="108" spans="1:6" x14ac:dyDescent="0.25">
      <c r="A108" s="67" t="s">
        <v>165</v>
      </c>
      <c r="B108" s="3" t="s">
        <v>166</v>
      </c>
      <c r="C108" t="s">
        <v>174</v>
      </c>
      <c r="D108" s="48" t="e">
        <f>('Vessel area density'!R125/'Vessel area density'!Q125*'Vessel Length Density'!R104/'Vessel Length Density'!Q104*'Branchpoint density'!R125/'Branchpoint density'!Q125)-1</f>
        <v>#DIV/0!</v>
      </c>
      <c r="F108" t="e">
        <f>10*D108</f>
        <v>#DIV/0!</v>
      </c>
    </row>
    <row r="109" spans="1:6" x14ac:dyDescent="0.25">
      <c r="A109" s="67"/>
      <c r="B109" s="3" t="s">
        <v>166</v>
      </c>
      <c r="C109" t="s">
        <v>175</v>
      </c>
      <c r="D109" s="48" t="e">
        <f>('Vessel area density'!R126/'Vessel area density'!Q126*'Vessel Length Density'!R105/'Vessel Length Density'!Q105*'Branchpoint density'!R126/'Branchpoint density'!Q126)-1</f>
        <v>#DIV/0!</v>
      </c>
      <c r="F109" t="e">
        <f>10*D109</f>
        <v>#DIV/0!</v>
      </c>
    </row>
    <row r="110" spans="1:6" x14ac:dyDescent="0.25">
      <c r="A110" s="67"/>
      <c r="B110" s="3" t="s">
        <v>166</v>
      </c>
      <c r="C110" t="s">
        <v>167</v>
      </c>
      <c r="D110" s="48">
        <f>('Vessel area density'!R106/'Vessel area density'!Q106*'Vessel Length Density'!R106/'Vessel Length Density'!Q106*'Branchpoint density'!R106/'Branchpoint density'!Q106)-1</f>
        <v>4.5408450269377418</v>
      </c>
      <c r="F110">
        <f>10*D110</f>
        <v>45.408450269377418</v>
      </c>
    </row>
    <row r="111" spans="1:6" x14ac:dyDescent="0.25">
      <c r="A111" s="67"/>
      <c r="B111" s="3" t="s">
        <v>166</v>
      </c>
      <c r="C111" t="s">
        <v>168</v>
      </c>
      <c r="D111" s="48">
        <f>('Vessel area density'!R107/'Vessel area density'!Q107*'Vessel Length Density'!R107/'Vessel Length Density'!Q107*'Branchpoint density'!R107/'Branchpoint density'!Q107)-1</f>
        <v>-0.31738258267681252</v>
      </c>
      <c r="F111">
        <f>-10*D111</f>
        <v>3.173825826768125</v>
      </c>
    </row>
    <row r="112" spans="1:6" x14ac:dyDescent="0.25">
      <c r="A112" s="67"/>
      <c r="B112" s="3" t="s">
        <v>166</v>
      </c>
      <c r="C112" t="s">
        <v>169</v>
      </c>
      <c r="D112" s="48">
        <f>('Vessel area density'!R108/'Vessel area density'!Q108*'Vessel Length Density'!R108/'Vessel Length Density'!Q108*'Branchpoint density'!R108/'Branchpoint density'!Q108)-1</f>
        <v>3.3197424892703857</v>
      </c>
      <c r="F112">
        <f t="shared" ref="F112:F119" si="4">10*D112</f>
        <v>33.197424892703857</v>
      </c>
    </row>
    <row r="113" spans="1:6" x14ac:dyDescent="0.25">
      <c r="A113" s="67"/>
      <c r="B113" s="3" t="s">
        <v>166</v>
      </c>
      <c r="C113" t="s">
        <v>176</v>
      </c>
      <c r="D113" s="48">
        <f>('Vessel area density'!R127/'Vessel area density'!Q127*'Vessel Length Density'!R129/'Vessel Length Density'!Q129*'Branchpoint density'!R127/'Branchpoint density'!Q127)-1</f>
        <v>0.85383144205023598</v>
      </c>
      <c r="F113">
        <f t="shared" si="4"/>
        <v>8.5383144205023598</v>
      </c>
    </row>
    <row r="114" spans="1:6" x14ac:dyDescent="0.25">
      <c r="A114" s="67"/>
      <c r="B114" s="3" t="s">
        <v>166</v>
      </c>
      <c r="C114" t="s">
        <v>170</v>
      </c>
      <c r="D114" s="48">
        <f>('Vessel area density'!R109/'Vessel area density'!Q109*'Vessel Length Density'!R109/'Vessel Length Density'!Q109*'Branchpoint density'!R109/'Branchpoint density'!Q109)-1</f>
        <v>4.1424955081435364</v>
      </c>
      <c r="F114">
        <f t="shared" si="4"/>
        <v>41.424955081435364</v>
      </c>
    </row>
    <row r="115" spans="1:6" x14ac:dyDescent="0.25">
      <c r="A115" s="67"/>
      <c r="B115" s="3" t="s">
        <v>166</v>
      </c>
      <c r="C115" t="s">
        <v>177</v>
      </c>
      <c r="D115" s="48">
        <f>('Vessel area density'!R128/'Vessel area density'!Q128*'Vessel Length Density'!R130/'Vessel Length Density'!Q130*'Branchpoint density'!R128/'Branchpoint density'!Q128)-1</f>
        <v>2.7175746293030234</v>
      </c>
      <c r="F115">
        <f t="shared" si="4"/>
        <v>27.175746293030233</v>
      </c>
    </row>
    <row r="116" spans="1:6" x14ac:dyDescent="0.25">
      <c r="A116" s="67"/>
      <c r="B116" s="3" t="s">
        <v>166</v>
      </c>
      <c r="C116" t="s">
        <v>171</v>
      </c>
      <c r="D116" s="48">
        <f>('Vessel area density'!R110/'Vessel area density'!Q110*'Vessel Length Density'!R110/'Vessel Length Density'!Q110*'Branchpoint density'!R110/'Branchpoint density'!Q110)-1</f>
        <v>12.82052062204192</v>
      </c>
      <c r="F116">
        <f t="shared" si="4"/>
        <v>128.2052062204192</v>
      </c>
    </row>
    <row r="117" spans="1:6" x14ac:dyDescent="0.25">
      <c r="A117" s="67"/>
      <c r="B117" s="3" t="s">
        <v>166</v>
      </c>
      <c r="C117" t="s">
        <v>172</v>
      </c>
      <c r="D117" s="48">
        <f>('Vessel area density'!R111/'Vessel area density'!Q111*'Vessel Length Density'!R111/'Vessel Length Density'!Q111*'Branchpoint density'!R111/'Branchpoint density'!Q111)-1</f>
        <v>3.8610511745307985</v>
      </c>
      <c r="F117">
        <f t="shared" si="4"/>
        <v>38.610511745307988</v>
      </c>
    </row>
    <row r="118" spans="1:6" x14ac:dyDescent="0.25">
      <c r="A118" s="67"/>
      <c r="B118" s="3" t="s">
        <v>166</v>
      </c>
      <c r="C118" t="s">
        <v>178</v>
      </c>
      <c r="D118" s="48">
        <f>('Vessel area density'!R129/'Vessel area density'!Q129*'Vessel Length Density'!R131/'Vessel Length Density'!Q131*'Branchpoint density'!R129/'Branchpoint density'!Q129)-1</f>
        <v>4.4737076315059019</v>
      </c>
      <c r="F118">
        <f t="shared" si="4"/>
        <v>44.737076315059021</v>
      </c>
    </row>
    <row r="119" spans="1:6" x14ac:dyDescent="0.25">
      <c r="A119" s="67"/>
      <c r="B119" s="3" t="s">
        <v>166</v>
      </c>
      <c r="C119" t="s">
        <v>173</v>
      </c>
      <c r="D119" s="48">
        <f>('Vessel area density'!R112/'Vessel area density'!Q112*'Vessel Length Density'!R112/'Vessel Length Density'!Q112*'Branchpoint density'!R112/'Branchpoint density'!Q112)-1</f>
        <v>2.8167938931297716</v>
      </c>
      <c r="F119">
        <f t="shared" si="4"/>
        <v>28.167938931297716</v>
      </c>
    </row>
    <row r="120" spans="1:6" x14ac:dyDescent="0.25">
      <c r="A120" s="67"/>
      <c r="B120" s="3"/>
    </row>
    <row r="121" spans="1:6" x14ac:dyDescent="0.25">
      <c r="A121" s="67"/>
      <c r="B121" s="3"/>
    </row>
    <row r="122" spans="1:6" x14ac:dyDescent="0.25">
      <c r="A122" s="67"/>
      <c r="B122" s="3"/>
    </row>
    <row r="123" spans="1:6" x14ac:dyDescent="0.25">
      <c r="A123" s="4"/>
      <c r="B123" s="3"/>
    </row>
    <row r="124" spans="1:6" x14ac:dyDescent="0.25">
      <c r="A124" s="4"/>
      <c r="B124" s="3"/>
    </row>
    <row r="125" spans="1:6" x14ac:dyDescent="0.25">
      <c r="A125" s="4"/>
      <c r="B125" s="3"/>
    </row>
    <row r="126" spans="1:6" x14ac:dyDescent="0.25">
      <c r="A126" s="4"/>
      <c r="B126" s="3"/>
    </row>
    <row r="127" spans="1:6" x14ac:dyDescent="0.25">
      <c r="A127" s="4"/>
      <c r="B127" s="3"/>
    </row>
    <row r="128" spans="1:6" x14ac:dyDescent="0.25">
      <c r="A128" s="4"/>
      <c r="B128" s="3"/>
    </row>
  </sheetData>
  <mergeCells count="6">
    <mergeCell ref="A108:A122"/>
    <mergeCell ref="A4:A16"/>
    <mergeCell ref="A24:A36"/>
    <mergeCell ref="A44:A56"/>
    <mergeCell ref="A65:A77"/>
    <mergeCell ref="A85:A9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90D6-CB81-FC43-B9C5-78868B21E6CA}">
  <dimension ref="A1:BN130"/>
  <sheetViews>
    <sheetView topLeftCell="C1" workbookViewId="0">
      <pane xSplit="1" topLeftCell="Q1" activePane="topRight" state="frozen"/>
      <selection activeCell="C1" sqref="C1"/>
      <selection pane="topRight" activeCell="Q4" sqref="Q4:S4"/>
    </sheetView>
  </sheetViews>
  <sheetFormatPr defaultColWidth="11.125" defaultRowHeight="15.75" x14ac:dyDescent="0.25"/>
  <cols>
    <col min="2" max="2" width="13.5" bestFit="1" customWidth="1"/>
    <col min="3" max="3" width="12.125" bestFit="1" customWidth="1"/>
    <col min="15" max="15" width="17.125" bestFit="1" customWidth="1"/>
    <col min="16" max="16" width="16.125" customWidth="1"/>
    <col min="32" max="32" width="16.125" customWidth="1"/>
    <col min="47" max="47" width="16.125" customWidth="1"/>
    <col min="62" max="62" width="16.125" customWidth="1"/>
  </cols>
  <sheetData>
    <row r="1" spans="1:66" ht="15.6" customHeight="1" x14ac:dyDescent="0.25">
      <c r="D1" s="69" t="s">
        <v>74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6" t="s">
        <v>75</v>
      </c>
      <c r="Q1" s="6"/>
      <c r="R1" s="6"/>
      <c r="S1" s="6"/>
      <c r="T1" s="70" t="s">
        <v>76</v>
      </c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66" t="s">
        <v>75</v>
      </c>
      <c r="AG1" s="6"/>
      <c r="AH1" s="6"/>
      <c r="AI1" s="69" t="s">
        <v>77</v>
      </c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6" t="s">
        <v>75</v>
      </c>
      <c r="AV1" s="6"/>
      <c r="AW1" s="6"/>
      <c r="AX1" s="70" t="s">
        <v>78</v>
      </c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66" t="s">
        <v>75</v>
      </c>
      <c r="BK1" s="6"/>
      <c r="BL1" s="6"/>
    </row>
    <row r="2" spans="1:66" s="19" customFormat="1" ht="60" customHeight="1" x14ac:dyDescent="0.25">
      <c r="D2" s="71" t="s">
        <v>79</v>
      </c>
      <c r="E2" s="71"/>
      <c r="F2" s="71"/>
      <c r="G2" s="71"/>
      <c r="H2" s="71"/>
      <c r="I2" s="7" t="s">
        <v>80</v>
      </c>
      <c r="J2" s="72" t="s">
        <v>81</v>
      </c>
      <c r="K2" s="72"/>
      <c r="L2" s="72"/>
      <c r="M2" s="72"/>
      <c r="N2" s="72"/>
      <c r="O2" s="72"/>
      <c r="P2" s="66"/>
      <c r="Q2" s="20" t="s">
        <v>82</v>
      </c>
      <c r="R2" s="20" t="s">
        <v>179</v>
      </c>
      <c r="S2" s="20" t="s">
        <v>84</v>
      </c>
      <c r="T2" s="71" t="s">
        <v>79</v>
      </c>
      <c r="U2" s="71"/>
      <c r="V2" s="71"/>
      <c r="W2" s="71"/>
      <c r="X2" s="71"/>
      <c r="Y2" s="7" t="s">
        <v>80</v>
      </c>
      <c r="Z2" s="72" t="s">
        <v>81</v>
      </c>
      <c r="AA2" s="72"/>
      <c r="AB2" s="72"/>
      <c r="AC2" s="72"/>
      <c r="AD2" s="72"/>
      <c r="AE2" s="72"/>
      <c r="AF2" s="66"/>
      <c r="AG2" s="20"/>
      <c r="AH2" s="20"/>
      <c r="AI2" s="71" t="s">
        <v>79</v>
      </c>
      <c r="AJ2" s="71"/>
      <c r="AK2" s="71"/>
      <c r="AL2" s="71"/>
      <c r="AM2" s="71"/>
      <c r="AN2" s="7" t="s">
        <v>80</v>
      </c>
      <c r="AO2" s="72" t="s">
        <v>81</v>
      </c>
      <c r="AP2" s="72"/>
      <c r="AQ2" s="72"/>
      <c r="AR2" s="72"/>
      <c r="AS2" s="72"/>
      <c r="AT2" s="72"/>
      <c r="AU2" s="66"/>
      <c r="AV2" s="20"/>
      <c r="AW2" s="20"/>
      <c r="AX2" s="71" t="s">
        <v>79</v>
      </c>
      <c r="AY2" s="71"/>
      <c r="AZ2" s="71"/>
      <c r="BA2" s="71"/>
      <c r="BB2" s="71"/>
      <c r="BC2" s="7" t="s">
        <v>80</v>
      </c>
      <c r="BD2" s="72" t="s">
        <v>81</v>
      </c>
      <c r="BE2" s="72"/>
      <c r="BF2" s="72"/>
      <c r="BG2" s="72"/>
      <c r="BH2" s="72"/>
      <c r="BI2" s="72"/>
      <c r="BJ2" s="66"/>
      <c r="BK2" s="20"/>
      <c r="BL2" s="20"/>
    </row>
    <row r="3" spans="1:66" x14ac:dyDescent="0.25">
      <c r="A3" s="1" t="s">
        <v>85</v>
      </c>
      <c r="B3" s="1" t="s">
        <v>86</v>
      </c>
      <c r="C3" s="1" t="s">
        <v>0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  <c r="M3" s="2" t="s">
        <v>96</v>
      </c>
      <c r="N3" s="2" t="s">
        <v>97</v>
      </c>
      <c r="O3" s="2" t="s">
        <v>98</v>
      </c>
      <c r="P3" s="2" t="s">
        <v>99</v>
      </c>
      <c r="Q3" s="2"/>
      <c r="R3" s="2"/>
      <c r="S3" s="2"/>
      <c r="T3" s="2" t="s">
        <v>87</v>
      </c>
      <c r="U3" s="2" t="s">
        <v>88</v>
      </c>
      <c r="V3" s="2" t="s">
        <v>89</v>
      </c>
      <c r="W3" s="2" t="s">
        <v>90</v>
      </c>
      <c r="X3" s="2" t="s">
        <v>91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/>
      <c r="AH3" s="2"/>
      <c r="AI3" s="2" t="s">
        <v>87</v>
      </c>
      <c r="AJ3" s="2" t="s">
        <v>88</v>
      </c>
      <c r="AK3" s="2" t="s">
        <v>89</v>
      </c>
      <c r="AL3" s="2" t="s">
        <v>90</v>
      </c>
      <c r="AM3" s="2" t="s">
        <v>91</v>
      </c>
      <c r="AN3" s="2" t="s">
        <v>92</v>
      </c>
      <c r="AO3" s="2" t="s">
        <v>93</v>
      </c>
      <c r="AP3" s="2" t="s">
        <v>94</v>
      </c>
      <c r="AQ3" s="2" t="s">
        <v>95</v>
      </c>
      <c r="AR3" s="2" t="s">
        <v>96</v>
      </c>
      <c r="AS3" s="2" t="s">
        <v>97</v>
      </c>
      <c r="AT3" s="2" t="s">
        <v>98</v>
      </c>
      <c r="AU3" s="2" t="s">
        <v>99</v>
      </c>
      <c r="AV3" s="2"/>
      <c r="AW3" s="2"/>
      <c r="AX3" s="2" t="s">
        <v>87</v>
      </c>
      <c r="AY3" s="2" t="s">
        <v>88</v>
      </c>
      <c r="AZ3" s="2" t="s">
        <v>89</v>
      </c>
      <c r="BA3" s="2" t="s">
        <v>90</v>
      </c>
      <c r="BB3" s="2" t="s">
        <v>91</v>
      </c>
      <c r="BC3" s="2" t="s">
        <v>92</v>
      </c>
      <c r="BD3" s="2" t="s">
        <v>93</v>
      </c>
      <c r="BE3" s="2" t="s">
        <v>94</v>
      </c>
      <c r="BF3" s="2" t="s">
        <v>95</v>
      </c>
      <c r="BG3" s="2" t="s">
        <v>96</v>
      </c>
      <c r="BH3" s="2" t="s">
        <v>97</v>
      </c>
      <c r="BI3" s="2" t="s">
        <v>98</v>
      </c>
      <c r="BJ3" s="2" t="s">
        <v>99</v>
      </c>
      <c r="BK3" s="2"/>
      <c r="BL3" s="2"/>
    </row>
    <row r="4" spans="1:66" x14ac:dyDescent="0.25">
      <c r="A4" s="68"/>
      <c r="B4" s="3" t="s">
        <v>100</v>
      </c>
      <c r="C4" s="21" t="s">
        <v>101</v>
      </c>
      <c r="D4">
        <v>1.33</v>
      </c>
      <c r="E4">
        <v>1.35</v>
      </c>
      <c r="F4">
        <v>1.33</v>
      </c>
      <c r="G4">
        <v>1.34</v>
      </c>
      <c r="H4">
        <v>1.34</v>
      </c>
      <c r="I4">
        <v>1.28</v>
      </c>
      <c r="J4">
        <v>1.39</v>
      </c>
      <c r="K4">
        <v>1.36</v>
      </c>
      <c r="L4">
        <v>1.38</v>
      </c>
      <c r="M4">
        <v>1.36</v>
      </c>
      <c r="P4" s="5">
        <f t="shared" ref="P4:P6" si="0">IFERROR(STDEVA(D4:H4),#N/A)</f>
        <v>8.3666002653407633E-3</v>
      </c>
      <c r="Q4">
        <f t="shared" ref="Q4:Q6" si="1">MEDIAN(D4:H4)</f>
        <v>1.34</v>
      </c>
      <c r="R4" s="2">
        <f t="shared" ref="R4:R6" si="2">MAX(J4:O4)</f>
        <v>1.39</v>
      </c>
      <c r="S4" s="27">
        <f t="shared" ref="S4:S6" si="3">100*(R4-Q4)/Q4</f>
        <v>3.7313432835820759</v>
      </c>
      <c r="AF4" s="5" t="e">
        <f>IFERROR(STDEVA(T4:X4),#N/A)</f>
        <v>#N/A</v>
      </c>
      <c r="AU4" s="5" t="e">
        <f t="shared" ref="AU4:AU13" si="4">IFERROR(STDEVA(AI4:AM4),#N/A)</f>
        <v>#N/A</v>
      </c>
      <c r="BJ4" s="5" t="e">
        <f t="shared" ref="BJ4:BJ13" si="5">IFERROR(STDEVA(AX4:BB4),#N/A)</f>
        <v>#N/A</v>
      </c>
    </row>
    <row r="5" spans="1:66" x14ac:dyDescent="0.25">
      <c r="A5" s="68"/>
      <c r="B5" s="3" t="s">
        <v>100</v>
      </c>
      <c r="C5" s="21" t="s">
        <v>102</v>
      </c>
      <c r="D5">
        <v>1.4</v>
      </c>
      <c r="E5">
        <v>1.39</v>
      </c>
      <c r="F5">
        <v>1.41</v>
      </c>
      <c r="G5">
        <v>1.42</v>
      </c>
      <c r="H5">
        <v>1.42</v>
      </c>
      <c r="I5">
        <v>1.35</v>
      </c>
      <c r="J5">
        <v>1.44</v>
      </c>
      <c r="K5">
        <v>1.43</v>
      </c>
      <c r="L5">
        <v>1.44</v>
      </c>
      <c r="M5">
        <v>1.44</v>
      </c>
      <c r="P5" s="5">
        <f t="shared" si="0"/>
        <v>1.3038404810405309E-2</v>
      </c>
      <c r="Q5">
        <f t="shared" si="1"/>
        <v>1.41</v>
      </c>
      <c r="R5" s="2">
        <f t="shared" si="2"/>
        <v>1.44</v>
      </c>
      <c r="S5" s="27">
        <f t="shared" si="3"/>
        <v>2.1276595744680873</v>
      </c>
      <c r="AF5" s="5" t="e">
        <f>IFERROR(STDEVA(T5:X5),#N/A)</f>
        <v>#N/A</v>
      </c>
      <c r="AU5" s="5" t="e">
        <f t="shared" si="4"/>
        <v>#N/A</v>
      </c>
      <c r="BJ5" s="5" t="e">
        <f t="shared" si="5"/>
        <v>#N/A</v>
      </c>
    </row>
    <row r="6" spans="1:66" x14ac:dyDescent="0.25">
      <c r="A6" s="68"/>
      <c r="B6" s="3" t="s">
        <v>100</v>
      </c>
      <c r="C6" s="21" t="s">
        <v>103</v>
      </c>
      <c r="D6">
        <v>1.4</v>
      </c>
      <c r="E6">
        <v>1.41</v>
      </c>
      <c r="F6">
        <v>1.4</v>
      </c>
      <c r="G6">
        <v>1.41</v>
      </c>
      <c r="H6">
        <v>1.41</v>
      </c>
      <c r="I6">
        <v>1.35</v>
      </c>
      <c r="J6">
        <v>1.45</v>
      </c>
      <c r="K6">
        <v>1.45</v>
      </c>
      <c r="L6">
        <v>1.45</v>
      </c>
      <c r="M6">
        <v>1.43</v>
      </c>
      <c r="P6" s="5">
        <f t="shared" si="0"/>
        <v>5.4772255750516665E-3</v>
      </c>
      <c r="Q6">
        <f t="shared" si="1"/>
        <v>1.41</v>
      </c>
      <c r="R6" s="2">
        <f t="shared" si="2"/>
        <v>1.45</v>
      </c>
      <c r="S6" s="27">
        <f t="shared" si="3"/>
        <v>2.8368794326241162</v>
      </c>
      <c r="AF6" s="5" t="e">
        <f>IFERROR(STDEVA(T6:X6),#N/A)</f>
        <v>#N/A</v>
      </c>
      <c r="AU6" s="5" t="e">
        <f t="shared" si="4"/>
        <v>#N/A</v>
      </c>
      <c r="BJ6" s="5" t="e">
        <f t="shared" si="5"/>
        <v>#N/A</v>
      </c>
    </row>
    <row r="7" spans="1:66" x14ac:dyDescent="0.25">
      <c r="A7" s="68"/>
      <c r="B7" s="3" t="s">
        <v>100</v>
      </c>
      <c r="C7" s="21" t="s">
        <v>104</v>
      </c>
      <c r="D7">
        <v>1.37</v>
      </c>
      <c r="E7">
        <v>1.37</v>
      </c>
      <c r="F7">
        <v>1.38</v>
      </c>
      <c r="G7">
        <v>1.37</v>
      </c>
      <c r="H7">
        <v>1.39</v>
      </c>
      <c r="I7">
        <v>1.29</v>
      </c>
      <c r="J7">
        <v>1.42</v>
      </c>
      <c r="K7">
        <v>1.42</v>
      </c>
      <c r="L7">
        <v>1.4</v>
      </c>
      <c r="M7">
        <v>1.41</v>
      </c>
      <c r="P7" s="5">
        <f t="shared" ref="P7:P12" si="6">IFERROR(STDEVA(D7:H7),#N/A)</f>
        <v>8.9442719099990554E-3</v>
      </c>
      <c r="Q7">
        <f t="shared" ref="Q7:Q12" si="7">MEDIAN(D7:H7)</f>
        <v>1.37</v>
      </c>
      <c r="R7" s="2">
        <f t="shared" ref="R7:R12" si="8">MAX(J7:O7)</f>
        <v>1.42</v>
      </c>
      <c r="S7" s="27">
        <f t="shared" ref="S7:S12" si="9">100*(R7-Q7)/Q7</f>
        <v>3.649635036496337</v>
      </c>
      <c r="AF7" s="5" t="e">
        <f>IFERROR(STDEVA(T7:X7),#N/A)</f>
        <v>#N/A</v>
      </c>
      <c r="AU7" s="5" t="e">
        <f t="shared" si="4"/>
        <v>#N/A</v>
      </c>
      <c r="BJ7" s="5" t="e">
        <f t="shared" si="5"/>
        <v>#N/A</v>
      </c>
    </row>
    <row r="8" spans="1:66" x14ac:dyDescent="0.25">
      <c r="A8" s="68"/>
      <c r="B8" s="3" t="s">
        <v>100</v>
      </c>
      <c r="C8" s="21" t="s">
        <v>105</v>
      </c>
      <c r="D8">
        <v>1.35</v>
      </c>
      <c r="E8">
        <v>1.39</v>
      </c>
      <c r="F8">
        <v>1.4</v>
      </c>
      <c r="G8">
        <v>1.39</v>
      </c>
      <c r="H8">
        <v>1.38</v>
      </c>
      <c r="I8">
        <v>1.34</v>
      </c>
      <c r="J8">
        <v>1.45</v>
      </c>
      <c r="K8">
        <v>1.44</v>
      </c>
      <c r="L8">
        <v>1.43</v>
      </c>
      <c r="M8">
        <v>1.42</v>
      </c>
      <c r="P8" s="5">
        <f t="shared" si="6"/>
        <v>1.923538406167127E-2</v>
      </c>
      <c r="Q8">
        <f t="shared" si="7"/>
        <v>1.39</v>
      </c>
      <c r="R8" s="2">
        <f t="shared" si="8"/>
        <v>1.45</v>
      </c>
      <c r="S8" s="27">
        <f t="shared" si="9"/>
        <v>4.3165467625899323</v>
      </c>
      <c r="AF8" s="5" t="e">
        <f t="shared" ref="AF8:AF15" si="10">IFERROR(STDEVA(T8:X8),#N/A)</f>
        <v>#N/A</v>
      </c>
      <c r="AU8" s="5" t="e">
        <f t="shared" si="4"/>
        <v>#N/A</v>
      </c>
      <c r="BJ8" s="5" t="e">
        <f>IFERROR(STDEVA(AX8:BB8),#N/A)</f>
        <v>#N/A</v>
      </c>
    </row>
    <row r="9" spans="1:66" x14ac:dyDescent="0.25">
      <c r="A9" s="68"/>
      <c r="B9" s="3" t="s">
        <v>100</v>
      </c>
      <c r="C9" s="21" t="s">
        <v>106</v>
      </c>
      <c r="D9">
        <v>1.37</v>
      </c>
      <c r="E9">
        <v>1.37</v>
      </c>
      <c r="F9">
        <v>1.37</v>
      </c>
      <c r="G9">
        <v>1.37</v>
      </c>
      <c r="H9">
        <v>1.36</v>
      </c>
      <c r="I9">
        <v>1.38</v>
      </c>
      <c r="J9">
        <v>1.43</v>
      </c>
      <c r="K9">
        <v>1.4</v>
      </c>
      <c r="L9">
        <v>1.38</v>
      </c>
      <c r="M9">
        <v>1.39</v>
      </c>
      <c r="P9" s="5">
        <f t="shared" si="6"/>
        <v>4.4721359549995841E-3</v>
      </c>
      <c r="Q9">
        <f t="shared" si="7"/>
        <v>1.37</v>
      </c>
      <c r="R9" s="2">
        <f t="shared" si="8"/>
        <v>1.43</v>
      </c>
      <c r="S9" s="27">
        <f t="shared" si="9"/>
        <v>4.379562043795608</v>
      </c>
      <c r="AF9" s="5" t="e">
        <f t="shared" si="10"/>
        <v>#N/A</v>
      </c>
      <c r="AU9" s="5" t="e">
        <f t="shared" si="4"/>
        <v>#N/A</v>
      </c>
      <c r="BJ9" s="5" t="e">
        <f t="shared" si="5"/>
        <v>#N/A</v>
      </c>
    </row>
    <row r="10" spans="1:66" x14ac:dyDescent="0.25">
      <c r="A10" s="68"/>
      <c r="B10" s="3" t="s">
        <v>100</v>
      </c>
      <c r="C10" s="21" t="s">
        <v>107</v>
      </c>
      <c r="D10">
        <v>1.36</v>
      </c>
      <c r="E10">
        <v>1.38</v>
      </c>
      <c r="F10">
        <v>1.34</v>
      </c>
      <c r="G10">
        <v>1.35</v>
      </c>
      <c r="H10">
        <v>1.35</v>
      </c>
      <c r="I10">
        <v>1.35</v>
      </c>
      <c r="J10">
        <v>1.42</v>
      </c>
      <c r="K10">
        <v>1.42</v>
      </c>
      <c r="L10">
        <v>1.41</v>
      </c>
      <c r="M10">
        <v>1.38</v>
      </c>
      <c r="P10" s="5">
        <f t="shared" si="6"/>
        <v>1.5165750888103026E-2</v>
      </c>
      <c r="Q10">
        <f t="shared" si="7"/>
        <v>1.35</v>
      </c>
      <c r="R10" s="2">
        <f t="shared" si="8"/>
        <v>1.42</v>
      </c>
      <c r="S10" s="27">
        <f t="shared" si="9"/>
        <v>5.1851851851851727</v>
      </c>
      <c r="AF10" s="5" t="e">
        <f t="shared" si="10"/>
        <v>#N/A</v>
      </c>
      <c r="AU10" s="5" t="e">
        <f t="shared" si="4"/>
        <v>#N/A</v>
      </c>
      <c r="BJ10" s="5" t="e">
        <f t="shared" si="5"/>
        <v>#N/A</v>
      </c>
    </row>
    <row r="11" spans="1:66" x14ac:dyDescent="0.25">
      <c r="A11" s="68"/>
      <c r="B11" s="3" t="s">
        <v>100</v>
      </c>
      <c r="C11" s="21" t="s">
        <v>108</v>
      </c>
      <c r="D11">
        <v>1.34</v>
      </c>
      <c r="E11">
        <v>1.35</v>
      </c>
      <c r="F11">
        <v>1.42</v>
      </c>
      <c r="G11">
        <v>1.42</v>
      </c>
      <c r="H11">
        <v>1.41</v>
      </c>
      <c r="I11">
        <v>1.31</v>
      </c>
      <c r="J11">
        <v>1.45</v>
      </c>
      <c r="K11">
        <v>1.45</v>
      </c>
      <c r="L11">
        <v>1.44</v>
      </c>
      <c r="M11">
        <v>1.45</v>
      </c>
      <c r="P11" s="5">
        <f t="shared" si="6"/>
        <v>3.9623225512317811E-2</v>
      </c>
      <c r="Q11">
        <f t="shared" si="7"/>
        <v>1.41</v>
      </c>
      <c r="R11" s="2">
        <f t="shared" si="8"/>
        <v>1.45</v>
      </c>
      <c r="S11" s="27">
        <f t="shared" si="9"/>
        <v>2.8368794326241162</v>
      </c>
      <c r="AF11" s="5" t="e">
        <f t="shared" si="10"/>
        <v>#N/A</v>
      </c>
      <c r="AU11" s="5" t="e">
        <f t="shared" si="4"/>
        <v>#N/A</v>
      </c>
      <c r="BJ11" s="5" t="e">
        <f t="shared" si="5"/>
        <v>#N/A</v>
      </c>
    </row>
    <row r="12" spans="1:66" x14ac:dyDescent="0.25">
      <c r="A12" s="68"/>
      <c r="B12" s="3" t="s">
        <v>100</v>
      </c>
      <c r="C12" s="21" t="s">
        <v>109</v>
      </c>
      <c r="D12">
        <v>1.39</v>
      </c>
      <c r="E12">
        <v>1.41</v>
      </c>
      <c r="F12">
        <v>1.42</v>
      </c>
      <c r="G12">
        <v>1.42</v>
      </c>
      <c r="H12">
        <v>1.41</v>
      </c>
      <c r="I12">
        <v>1.39</v>
      </c>
      <c r="J12">
        <v>1.43</v>
      </c>
      <c r="K12">
        <v>1.43</v>
      </c>
      <c r="L12">
        <v>1.41</v>
      </c>
      <c r="M12">
        <v>1.43</v>
      </c>
      <c r="N12">
        <v>1.41</v>
      </c>
      <c r="O12">
        <v>1.4</v>
      </c>
      <c r="P12" s="5">
        <f t="shared" si="6"/>
        <v>1.2247448713915901E-2</v>
      </c>
      <c r="Q12">
        <f t="shared" si="7"/>
        <v>1.41</v>
      </c>
      <c r="R12" s="2">
        <f t="shared" si="8"/>
        <v>1.43</v>
      </c>
      <c r="S12" s="27">
        <f t="shared" si="9"/>
        <v>1.4184397163120581</v>
      </c>
      <c r="AF12" s="5" t="e">
        <f t="shared" si="10"/>
        <v>#N/A</v>
      </c>
      <c r="AU12" s="5" t="e">
        <f t="shared" si="4"/>
        <v>#N/A</v>
      </c>
      <c r="BJ12" s="5" t="e">
        <f t="shared" si="5"/>
        <v>#N/A</v>
      </c>
    </row>
    <row r="13" spans="1:66" x14ac:dyDescent="0.25">
      <c r="A13" s="68"/>
      <c r="B13" s="3"/>
      <c r="P13" s="31" t="s">
        <v>110</v>
      </c>
      <c r="Q13" s="30">
        <f>AVERAGE(Q4:Q12)</f>
        <v>1.3844444444444444</v>
      </c>
      <c r="R13" s="30">
        <f>AVERAGE(R4:R12)</f>
        <v>1.431111111111111</v>
      </c>
      <c r="S13" s="29">
        <f>AVERAGE(S4:S12)</f>
        <v>3.3869033852975003</v>
      </c>
      <c r="AF13" s="5" t="e">
        <f t="shared" si="10"/>
        <v>#N/A</v>
      </c>
      <c r="AU13" s="5" t="e">
        <f t="shared" si="4"/>
        <v>#N/A</v>
      </c>
      <c r="BJ13" s="5" t="e">
        <f t="shared" si="5"/>
        <v>#N/A</v>
      </c>
    </row>
    <row r="14" spans="1:66" x14ac:dyDescent="0.25">
      <c r="A14" s="68"/>
      <c r="B14" s="3"/>
      <c r="P14" s="31" t="s">
        <v>111</v>
      </c>
      <c r="Q14" s="29">
        <f>STDEVA(Q4:Q12)</f>
        <v>2.7888667551135768E-2</v>
      </c>
      <c r="R14" s="29">
        <f>STDEVA(R4:R12)</f>
        <v>1.9649710204252678E-2</v>
      </c>
      <c r="S14" s="29">
        <f>STDEVA(S4:S12)</f>
        <v>1.190414271659811</v>
      </c>
      <c r="AF14" s="5" t="e">
        <f t="shared" si="10"/>
        <v>#N/A</v>
      </c>
      <c r="AU14" s="5" t="e">
        <f>IFERROR(STDEVA(AI14:AM14),#N/A)</f>
        <v>#N/A</v>
      </c>
      <c r="BJ14" s="5" t="e">
        <f>IFERROR(STDEVA(AX14:BB14),#N/A)</f>
        <v>#N/A</v>
      </c>
    </row>
    <row r="15" spans="1:66" ht="16.5" thickBot="1" x14ac:dyDescent="0.3">
      <c r="A15" s="68"/>
      <c r="B15" s="3"/>
      <c r="P15" s="31" t="s">
        <v>112</v>
      </c>
      <c r="Q15" s="32">
        <f>Q14/Q13</f>
        <v>2.0144302404512194E-2</v>
      </c>
      <c r="R15" s="32">
        <f>R14/R13</f>
        <v>1.3730387565083393E-2</v>
      </c>
      <c r="S15" s="32">
        <f>S14/S13</f>
        <v>0.35147570988513649</v>
      </c>
      <c r="AF15" s="5" t="e">
        <f t="shared" si="10"/>
        <v>#N/A</v>
      </c>
      <c r="AU15" s="5" t="e">
        <f>IFERROR(STDEVA(AI15:AM15),#N/A)</f>
        <v>#N/A</v>
      </c>
      <c r="BJ15" s="5" t="e">
        <f>IFERROR(STDEVA(AX15:BB15),#N/A)</f>
        <v>#N/A</v>
      </c>
    </row>
    <row r="16" spans="1:66" x14ac:dyDescent="0.25">
      <c r="A16" s="4"/>
      <c r="B16" s="3"/>
      <c r="N16" s="9"/>
      <c r="O16" s="8" t="s">
        <v>113</v>
      </c>
      <c r="P16" s="10">
        <v>5</v>
      </c>
      <c r="Q16" s="15" t="s">
        <v>114</v>
      </c>
      <c r="R16" s="16"/>
      <c r="S16" s="16"/>
      <c r="T16" s="16"/>
      <c r="U16" s="17"/>
      <c r="AC16" s="9"/>
      <c r="AD16" s="9"/>
      <c r="AE16" s="8" t="s">
        <v>113</v>
      </c>
      <c r="AF16" s="10">
        <v>5</v>
      </c>
      <c r="AG16" s="15" t="s">
        <v>114</v>
      </c>
      <c r="AH16" s="16"/>
      <c r="AI16" s="11"/>
      <c r="AJ16" s="12"/>
      <c r="AR16" s="9"/>
      <c r="AS16" s="9"/>
      <c r="AT16" s="8" t="s">
        <v>113</v>
      </c>
      <c r="AU16" s="10">
        <v>5</v>
      </c>
      <c r="AV16" s="15" t="s">
        <v>114</v>
      </c>
      <c r="AW16" s="16"/>
      <c r="AX16" s="11"/>
      <c r="AY16" s="12"/>
      <c r="BG16" s="9"/>
      <c r="BH16" s="9"/>
      <c r="BI16" s="8" t="s">
        <v>113</v>
      </c>
      <c r="BJ16" s="10">
        <v>5</v>
      </c>
      <c r="BK16" s="15" t="s">
        <v>114</v>
      </c>
      <c r="BL16" s="16"/>
      <c r="BM16" s="11"/>
      <c r="BN16" s="12"/>
    </row>
    <row r="17" spans="1:66" ht="16.5" thickBot="1" x14ac:dyDescent="0.3">
      <c r="A17" s="4"/>
      <c r="B17" s="3"/>
      <c r="N17" s="9"/>
      <c r="O17" s="8" t="s">
        <v>115</v>
      </c>
      <c r="P17" s="10">
        <v>9</v>
      </c>
      <c r="Q17" s="18" t="s">
        <v>114</v>
      </c>
      <c r="R17" s="54"/>
      <c r="S17" s="13"/>
      <c r="T17" s="13"/>
      <c r="U17" s="14"/>
      <c r="AC17" s="9"/>
      <c r="AD17" s="9"/>
      <c r="AE17" s="8" t="s">
        <v>115</v>
      </c>
      <c r="AF17" s="10">
        <v>10</v>
      </c>
      <c r="AG17" s="18" t="s">
        <v>114</v>
      </c>
      <c r="AH17" s="13"/>
      <c r="AI17" s="13"/>
      <c r="AJ17" s="14"/>
      <c r="AR17" s="9"/>
      <c r="AS17" s="9"/>
      <c r="AT17" s="8" t="s">
        <v>115</v>
      </c>
      <c r="AU17" s="10">
        <v>10</v>
      </c>
      <c r="AV17" s="18" t="s">
        <v>114</v>
      </c>
      <c r="AW17" s="13"/>
      <c r="AX17" s="13"/>
      <c r="AY17" s="14"/>
      <c r="BG17" s="9"/>
      <c r="BH17" s="9"/>
      <c r="BI17" s="8" t="s">
        <v>115</v>
      </c>
      <c r="BJ17" s="10">
        <v>10</v>
      </c>
      <c r="BK17" s="18" t="s">
        <v>114</v>
      </c>
      <c r="BL17" s="13"/>
      <c r="BM17" s="13"/>
      <c r="BN17" s="14"/>
    </row>
    <row r="18" spans="1:66" x14ac:dyDescent="0.25">
      <c r="A18" s="4"/>
      <c r="B18" s="3"/>
      <c r="O18" s="2" t="s">
        <v>116</v>
      </c>
      <c r="P18" s="5">
        <f>SQRT(AVERAGE(P4:P15))</f>
        <v>0.11858913557686115</v>
      </c>
      <c r="AE18" s="2" t="s">
        <v>116</v>
      </c>
      <c r="AF18" s="5" t="e">
        <f>SQRT(AVERAGE(AF4:AF15))</f>
        <v>#N/A</v>
      </c>
      <c r="AT18" s="2" t="s">
        <v>116</v>
      </c>
      <c r="AU18" s="5" t="e">
        <f>SQRT(AVERAGE(AU4:AU15))</f>
        <v>#N/A</v>
      </c>
      <c r="BI18" s="2" t="s">
        <v>116</v>
      </c>
      <c r="BJ18" s="5" t="e">
        <f>SQRT(AVERAGE(BJ4:BJ15))</f>
        <v>#N/A</v>
      </c>
    </row>
    <row r="19" spans="1:66" x14ac:dyDescent="0.25">
      <c r="A19" s="4"/>
      <c r="B19" s="3"/>
      <c r="O19" s="2" t="s">
        <v>117</v>
      </c>
      <c r="P19" s="5">
        <f>2.77*P18</f>
        <v>0.32849190554790542</v>
      </c>
      <c r="AE19" s="2" t="s">
        <v>117</v>
      </c>
      <c r="AF19" s="5" t="e">
        <f>2.77*AF18</f>
        <v>#N/A</v>
      </c>
      <c r="AT19" s="2" t="s">
        <v>117</v>
      </c>
      <c r="AU19" s="5" t="e">
        <f>2.77*AU18</f>
        <v>#N/A</v>
      </c>
      <c r="BI19" s="2" t="s">
        <v>117</v>
      </c>
      <c r="BJ19" s="5" t="e">
        <f>2.77*BJ18</f>
        <v>#N/A</v>
      </c>
    </row>
    <row r="20" spans="1:66" x14ac:dyDescent="0.25">
      <c r="A20" s="4"/>
      <c r="B20" s="3"/>
      <c r="O20" s="2" t="s">
        <v>118</v>
      </c>
      <c r="P20" s="5">
        <f>P19-(1.96*(P18/(SQRT(2*P17*(P16-1)))))</f>
        <v>0.30109921278036528</v>
      </c>
      <c r="AE20" s="2" t="s">
        <v>118</v>
      </c>
      <c r="AF20" s="5" t="e">
        <f>AF19-(1.96*(AF18/(SQRT(2*AF17*(AF16-1)))))</f>
        <v>#N/A</v>
      </c>
      <c r="AT20" s="2" t="s">
        <v>118</v>
      </c>
      <c r="AU20" s="5" t="e">
        <f>AU19-(1.96*(AU18/(SQRT(2*AU17*(AU16-1)))))</f>
        <v>#N/A</v>
      </c>
      <c r="BI20" s="2" t="s">
        <v>118</v>
      </c>
      <c r="BJ20" s="5" t="e">
        <f>BJ19-(1.96*(BJ18/(SQRT(2*BJ17*(BJ16-1)))))</f>
        <v>#N/A</v>
      </c>
    </row>
    <row r="21" spans="1:66" x14ac:dyDescent="0.25">
      <c r="A21" s="4"/>
      <c r="B21" s="3"/>
      <c r="O21" s="2" t="s">
        <v>119</v>
      </c>
      <c r="P21" s="5">
        <f>P19+(1.96*(P18/(SQRT(2*P17*(P16-1)))))</f>
        <v>0.35588459831544556</v>
      </c>
      <c r="AE21" s="2" t="s">
        <v>119</v>
      </c>
      <c r="AF21" s="5" t="e">
        <f>AF19+(1.96*(AF18/(SQRT(2*AF17*(AF16-1)))))</f>
        <v>#N/A</v>
      </c>
      <c r="AT21" s="2" t="s">
        <v>119</v>
      </c>
      <c r="AU21" s="5" t="e">
        <f>AU19+(1.96*(AU18/(SQRT(2*AU17*(AU16-1)))))</f>
        <v>#N/A</v>
      </c>
      <c r="BI21" s="2" t="s">
        <v>119</v>
      </c>
      <c r="BJ21" s="5" t="e">
        <f>BJ19+(1.96*(BJ18/(SQRT(2*BJ17*(BJ16-1)))))</f>
        <v>#N/A</v>
      </c>
    </row>
    <row r="22" spans="1:66" s="58" customFormat="1" x14ac:dyDescent="0.25">
      <c r="A22" s="56"/>
      <c r="B22" s="57"/>
      <c r="O22" s="59"/>
      <c r="P22" s="60"/>
      <c r="AE22" s="59"/>
      <c r="AF22" s="60"/>
      <c r="AT22" s="59"/>
      <c r="AU22" s="60"/>
      <c r="BI22" s="59"/>
      <c r="BJ22" s="60"/>
    </row>
    <row r="23" spans="1:66" x14ac:dyDescent="0.25">
      <c r="A23" s="73" t="s">
        <v>120</v>
      </c>
      <c r="B23" s="3" t="s">
        <v>100</v>
      </c>
      <c r="C23" s="21" t="s">
        <v>121</v>
      </c>
      <c r="D23">
        <v>1.37</v>
      </c>
      <c r="E23">
        <v>1.36</v>
      </c>
      <c r="F23">
        <v>1.37</v>
      </c>
      <c r="G23">
        <v>1.38</v>
      </c>
      <c r="H23">
        <v>1.4</v>
      </c>
      <c r="I23">
        <v>1.29</v>
      </c>
      <c r="J23">
        <v>1.43</v>
      </c>
      <c r="K23">
        <v>1.41</v>
      </c>
      <c r="L23">
        <v>1.4</v>
      </c>
      <c r="M23">
        <v>1.4</v>
      </c>
      <c r="P23" s="5">
        <f t="shared" ref="P23:P28" si="11">IFERROR(STDEVA(D23:H23),#N/A)</f>
        <v>1.5165750888103012E-2</v>
      </c>
      <c r="Q23">
        <f t="shared" ref="Q23:Q28" si="12">MEDIAN(D23:H23)</f>
        <v>1.37</v>
      </c>
      <c r="R23" s="2">
        <f t="shared" ref="R23:R28" si="13">MAX(J23:O23)</f>
        <v>1.43</v>
      </c>
      <c r="S23" s="27">
        <f t="shared" ref="S23:S28" si="14">100*(R23-Q23)/Q23</f>
        <v>4.379562043795608</v>
      </c>
    </row>
    <row r="24" spans="1:66" x14ac:dyDescent="0.25">
      <c r="A24" s="73"/>
      <c r="B24" s="3" t="s">
        <v>100</v>
      </c>
      <c r="C24" s="21" t="s">
        <v>122</v>
      </c>
      <c r="D24">
        <v>1.36</v>
      </c>
      <c r="E24">
        <v>1.4</v>
      </c>
      <c r="F24">
        <v>1.4</v>
      </c>
      <c r="G24">
        <v>1.39</v>
      </c>
      <c r="H24">
        <v>1.38</v>
      </c>
      <c r="I24">
        <v>1.33</v>
      </c>
      <c r="J24">
        <v>1.44</v>
      </c>
      <c r="K24">
        <v>1.44</v>
      </c>
      <c r="L24">
        <v>1.43</v>
      </c>
      <c r="M24">
        <v>1.43</v>
      </c>
      <c r="P24" s="5">
        <f t="shared" si="11"/>
        <v>1.673320053068144E-2</v>
      </c>
      <c r="Q24">
        <f t="shared" si="12"/>
        <v>1.39</v>
      </c>
      <c r="R24" s="2">
        <f t="shared" si="13"/>
        <v>1.44</v>
      </c>
      <c r="S24" s="27">
        <f t="shared" si="14"/>
        <v>3.5971223021582768</v>
      </c>
    </row>
    <row r="25" spans="1:66" x14ac:dyDescent="0.25">
      <c r="A25" s="73"/>
      <c r="B25" s="3" t="s">
        <v>100</v>
      </c>
      <c r="C25" s="21" t="s">
        <v>123</v>
      </c>
      <c r="D25">
        <v>1.3</v>
      </c>
      <c r="E25">
        <v>1.33</v>
      </c>
      <c r="F25">
        <v>1.31</v>
      </c>
      <c r="G25">
        <v>1.32</v>
      </c>
      <c r="H25">
        <v>1.35</v>
      </c>
      <c r="I25">
        <v>1.3</v>
      </c>
      <c r="J25">
        <v>1.4</v>
      </c>
      <c r="K25">
        <v>1.4</v>
      </c>
      <c r="L25">
        <v>1.42</v>
      </c>
      <c r="M25">
        <v>1.38</v>
      </c>
      <c r="P25" s="5">
        <f t="shared" si="11"/>
        <v>1.923538406167136E-2</v>
      </c>
      <c r="Q25">
        <f t="shared" si="12"/>
        <v>1.32</v>
      </c>
      <c r="R25" s="2">
        <f t="shared" si="13"/>
        <v>1.42</v>
      </c>
      <c r="S25" s="27">
        <f t="shared" si="14"/>
        <v>7.5757575757575646</v>
      </c>
    </row>
    <row r="26" spans="1:66" x14ac:dyDescent="0.25">
      <c r="A26" s="73"/>
      <c r="B26" s="3" t="s">
        <v>100</v>
      </c>
      <c r="C26" s="21" t="s">
        <v>124</v>
      </c>
      <c r="D26">
        <v>1.42</v>
      </c>
      <c r="E26">
        <v>1.43</v>
      </c>
      <c r="F26">
        <v>1.45</v>
      </c>
      <c r="G26">
        <v>1.43</v>
      </c>
      <c r="H26">
        <v>1.44</v>
      </c>
      <c r="I26">
        <v>1.36</v>
      </c>
      <c r="J26">
        <v>1.47</v>
      </c>
      <c r="K26">
        <v>1.44</v>
      </c>
      <c r="L26">
        <v>1.44</v>
      </c>
      <c r="M26">
        <v>1.44</v>
      </c>
      <c r="N26">
        <v>1.44</v>
      </c>
      <c r="O26">
        <v>1.44</v>
      </c>
      <c r="P26" s="5">
        <f t="shared" si="11"/>
        <v>1.1401754250991389E-2</v>
      </c>
      <c r="Q26">
        <f t="shared" si="12"/>
        <v>1.43</v>
      </c>
      <c r="R26" s="2">
        <f t="shared" si="13"/>
        <v>1.47</v>
      </c>
      <c r="S26" s="27">
        <f t="shared" si="14"/>
        <v>2.7972027972027997</v>
      </c>
      <c r="T26">
        <v>1.42</v>
      </c>
      <c r="U26">
        <v>1.42</v>
      </c>
      <c r="V26">
        <v>1.42</v>
      </c>
      <c r="W26">
        <v>1.41</v>
      </c>
      <c r="X26">
        <v>1.44</v>
      </c>
      <c r="Y26">
        <v>1.4</v>
      </c>
      <c r="Z26">
        <v>1.46</v>
      </c>
      <c r="AA26">
        <v>1.46</v>
      </c>
      <c r="AB26">
        <v>1.45</v>
      </c>
      <c r="AC26">
        <v>1.44</v>
      </c>
      <c r="AD26">
        <v>1.45</v>
      </c>
      <c r="AE26">
        <v>1.45</v>
      </c>
      <c r="AI26">
        <v>1.44</v>
      </c>
      <c r="AJ26">
        <v>1.45</v>
      </c>
      <c r="AK26">
        <v>1.44</v>
      </c>
      <c r="AL26">
        <v>1.43</v>
      </c>
      <c r="AM26">
        <v>1.44</v>
      </c>
      <c r="AN26">
        <v>1.39</v>
      </c>
      <c r="AO26">
        <v>1.44</v>
      </c>
      <c r="AP26">
        <v>1.46</v>
      </c>
      <c r="AQ26">
        <v>1.46</v>
      </c>
      <c r="AR26">
        <v>1.44</v>
      </c>
      <c r="AS26">
        <v>1.45</v>
      </c>
      <c r="AT26">
        <v>1.45</v>
      </c>
      <c r="AX26">
        <v>1.44</v>
      </c>
      <c r="AY26">
        <v>1.44</v>
      </c>
      <c r="AZ26">
        <v>1.44</v>
      </c>
      <c r="BA26">
        <v>1.45</v>
      </c>
      <c r="BB26">
        <v>1.45</v>
      </c>
      <c r="BC26">
        <v>1.36</v>
      </c>
      <c r="BD26">
        <v>1.46</v>
      </c>
      <c r="BE26">
        <v>1.46</v>
      </c>
      <c r="BF26">
        <v>1.46</v>
      </c>
      <c r="BG26">
        <v>1.46</v>
      </c>
      <c r="BH26">
        <v>1.46</v>
      </c>
      <c r="BI26">
        <v>1.46</v>
      </c>
    </row>
    <row r="27" spans="1:66" x14ac:dyDescent="0.25">
      <c r="A27" s="73"/>
      <c r="B27" s="3" t="s">
        <v>100</v>
      </c>
      <c r="C27" s="21" t="s">
        <v>125</v>
      </c>
      <c r="D27">
        <v>1.45</v>
      </c>
      <c r="E27">
        <v>1.38</v>
      </c>
      <c r="F27">
        <v>1.46</v>
      </c>
      <c r="G27">
        <v>1.47</v>
      </c>
      <c r="H27">
        <v>1.47</v>
      </c>
      <c r="I27">
        <v>1.39</v>
      </c>
      <c r="J27">
        <v>1.43</v>
      </c>
      <c r="K27">
        <v>1.41</v>
      </c>
      <c r="L27">
        <v>1.42</v>
      </c>
      <c r="M27">
        <v>1.41</v>
      </c>
      <c r="N27">
        <v>1.44</v>
      </c>
      <c r="O27">
        <v>1.43</v>
      </c>
      <c r="P27" s="5">
        <f t="shared" si="11"/>
        <v>3.7815340802378104E-2</v>
      </c>
      <c r="Q27">
        <f t="shared" si="12"/>
        <v>1.46</v>
      </c>
      <c r="R27" s="2">
        <f t="shared" si="13"/>
        <v>1.44</v>
      </c>
      <c r="S27" s="27">
        <f t="shared" si="14"/>
        <v>-1.3698630136986314</v>
      </c>
    </row>
    <row r="28" spans="1:66" x14ac:dyDescent="0.25">
      <c r="A28" s="73"/>
      <c r="B28" s="3" t="s">
        <v>100</v>
      </c>
      <c r="C28" s="21" t="s">
        <v>126</v>
      </c>
      <c r="D28">
        <v>1.37</v>
      </c>
      <c r="E28">
        <v>1.38</v>
      </c>
      <c r="F28">
        <v>1.39</v>
      </c>
      <c r="G28">
        <v>1.39</v>
      </c>
      <c r="H28">
        <v>1.37</v>
      </c>
      <c r="I28">
        <v>1.4</v>
      </c>
      <c r="J28">
        <v>1.4</v>
      </c>
      <c r="K28">
        <v>1.42</v>
      </c>
      <c r="L28">
        <v>1.43</v>
      </c>
      <c r="M28">
        <v>1.43</v>
      </c>
      <c r="N28">
        <v>1.43</v>
      </c>
      <c r="O28">
        <v>1.41</v>
      </c>
      <c r="P28" s="5">
        <f t="shared" si="11"/>
        <v>9.9999999999998979E-3</v>
      </c>
      <c r="Q28">
        <f t="shared" si="12"/>
        <v>1.38</v>
      </c>
      <c r="R28" s="2">
        <f t="shared" si="13"/>
        <v>1.43</v>
      </c>
      <c r="S28" s="27">
        <f t="shared" si="14"/>
        <v>3.6231884057971051</v>
      </c>
    </row>
    <row r="29" spans="1:66" x14ac:dyDescent="0.25">
      <c r="A29" s="73"/>
      <c r="B29" s="3" t="s">
        <v>100</v>
      </c>
      <c r="C29" s="21" t="s">
        <v>127</v>
      </c>
      <c r="D29">
        <v>1.43</v>
      </c>
      <c r="E29">
        <v>1.4</v>
      </c>
      <c r="F29">
        <v>1.37</v>
      </c>
      <c r="G29">
        <v>1.38</v>
      </c>
      <c r="H29">
        <v>1.37</v>
      </c>
      <c r="I29">
        <v>1.39</v>
      </c>
      <c r="J29">
        <v>1.43</v>
      </c>
      <c r="K29">
        <v>1.39</v>
      </c>
      <c r="L29">
        <v>1.37</v>
      </c>
      <c r="M29">
        <v>1.38</v>
      </c>
      <c r="N29">
        <v>1.39</v>
      </c>
      <c r="O29">
        <v>1.37</v>
      </c>
      <c r="P29" s="5">
        <f t="shared" ref="P29" si="15">IFERROR(STDEVA(D29:H29),#N/A)</f>
        <v>2.5495097567963861E-2</v>
      </c>
      <c r="Q29">
        <f t="shared" ref="Q29" si="16">MEDIAN(D29:H29)</f>
        <v>1.38</v>
      </c>
      <c r="R29" s="2">
        <f t="shared" ref="R29" si="17">MAX(J29:O29)</f>
        <v>1.43</v>
      </c>
      <c r="S29" s="27">
        <f t="shared" ref="S29" si="18">100*(R29-Q29)/Q29</f>
        <v>3.6231884057971051</v>
      </c>
    </row>
    <row r="30" spans="1:66" x14ac:dyDescent="0.25">
      <c r="A30" s="73"/>
      <c r="B30" s="3"/>
      <c r="P30" s="31" t="s">
        <v>110</v>
      </c>
      <c r="Q30" s="30">
        <f>AVERAGE(Q19:Q29)</f>
        <v>1.3900000000000001</v>
      </c>
      <c r="R30" s="30">
        <f>AVERAGE(R21:R29)</f>
        <v>1.4371428571428571</v>
      </c>
      <c r="S30" s="29">
        <f>AVERAGE(S19:S29)</f>
        <v>3.4608797881156899</v>
      </c>
    </row>
    <row r="31" spans="1:66" x14ac:dyDescent="0.25">
      <c r="A31" s="73"/>
      <c r="B31" s="3"/>
      <c r="P31" s="31" t="s">
        <v>111</v>
      </c>
      <c r="Q31" s="29">
        <f>STDEVA(Q19:Q29)</f>
        <v>4.4721359549995759E-2</v>
      </c>
      <c r="R31" s="29">
        <f>STDEVA(R21:R29)</f>
        <v>1.6035674514745479E-2</v>
      </c>
      <c r="S31" s="29">
        <f>STDEVA(S19:S29)</f>
        <v>2.6338814721831367</v>
      </c>
    </row>
    <row r="32" spans="1:66" ht="16.5" thickBot="1" x14ac:dyDescent="0.3">
      <c r="A32" s="73"/>
      <c r="B32" s="3"/>
      <c r="P32" s="31" t="s">
        <v>112</v>
      </c>
      <c r="Q32" s="32">
        <f>Q31/Q30</f>
        <v>3.2173639964025724E-2</v>
      </c>
      <c r="R32" s="32">
        <f>R31/R30</f>
        <v>1.115802401622449E-2</v>
      </c>
      <c r="S32" s="32">
        <f>S31/S30</f>
        <v>0.76104390601130345</v>
      </c>
    </row>
    <row r="33" spans="1:66" x14ac:dyDescent="0.25">
      <c r="A33" s="4"/>
      <c r="B33" s="3"/>
      <c r="N33" s="9"/>
      <c r="O33" s="8" t="s">
        <v>113</v>
      </c>
      <c r="P33" s="10">
        <v>5</v>
      </c>
      <c r="Q33" s="15" t="s">
        <v>114</v>
      </c>
      <c r="R33" s="16"/>
      <c r="S33" s="16"/>
      <c r="T33" s="16"/>
      <c r="U33" s="17"/>
      <c r="AC33" s="9"/>
      <c r="AD33" s="9"/>
      <c r="AE33" s="8" t="s">
        <v>113</v>
      </c>
      <c r="AF33" s="10">
        <v>5</v>
      </c>
      <c r="AG33" s="15" t="s">
        <v>114</v>
      </c>
      <c r="AH33" s="16"/>
      <c r="AI33" s="11"/>
      <c r="AJ33" s="12"/>
      <c r="AR33" s="9"/>
      <c r="AS33" s="9"/>
      <c r="AT33" s="8" t="s">
        <v>113</v>
      </c>
      <c r="AU33" s="10">
        <v>5</v>
      </c>
      <c r="AV33" s="15" t="s">
        <v>114</v>
      </c>
      <c r="AW33" s="16"/>
      <c r="AX33" s="11"/>
      <c r="AY33" s="12"/>
      <c r="BG33" s="9"/>
      <c r="BH33" s="9"/>
      <c r="BI33" s="8" t="s">
        <v>113</v>
      </c>
      <c r="BJ33" s="10">
        <v>5</v>
      </c>
      <c r="BK33" s="15" t="s">
        <v>114</v>
      </c>
      <c r="BL33" s="16"/>
      <c r="BM33" s="11"/>
      <c r="BN33" s="12"/>
    </row>
    <row r="34" spans="1:66" ht="16.5" thickBot="1" x14ac:dyDescent="0.3">
      <c r="A34" s="4"/>
      <c r="B34" s="3"/>
      <c r="N34" s="9"/>
      <c r="O34" s="8" t="s">
        <v>115</v>
      </c>
      <c r="P34" s="10">
        <v>7</v>
      </c>
      <c r="Q34" s="18" t="s">
        <v>114</v>
      </c>
      <c r="R34" s="54"/>
      <c r="S34" s="13"/>
      <c r="T34" s="13"/>
      <c r="U34" s="14"/>
      <c r="AC34" s="9"/>
      <c r="AD34" s="9"/>
      <c r="AE34" s="8" t="s">
        <v>115</v>
      </c>
      <c r="AF34" s="10">
        <v>10</v>
      </c>
      <c r="AG34" s="18" t="s">
        <v>114</v>
      </c>
      <c r="AH34" s="13"/>
      <c r="AI34" s="13"/>
      <c r="AJ34" s="14"/>
      <c r="AR34" s="9"/>
      <c r="AS34" s="9"/>
      <c r="AT34" s="8" t="s">
        <v>115</v>
      </c>
      <c r="AU34" s="10">
        <v>10</v>
      </c>
      <c r="AV34" s="18" t="s">
        <v>114</v>
      </c>
      <c r="AW34" s="13"/>
      <c r="AX34" s="13"/>
      <c r="AY34" s="14"/>
      <c r="BG34" s="9"/>
      <c r="BH34" s="9"/>
      <c r="BI34" s="8" t="s">
        <v>115</v>
      </c>
      <c r="BJ34" s="10">
        <v>10</v>
      </c>
      <c r="BK34" s="18" t="s">
        <v>114</v>
      </c>
      <c r="BL34" s="13"/>
      <c r="BM34" s="13"/>
      <c r="BN34" s="14"/>
    </row>
    <row r="35" spans="1:66" x14ac:dyDescent="0.25">
      <c r="A35" s="4"/>
      <c r="B35" s="3"/>
      <c r="O35" s="2" t="s">
        <v>116</v>
      </c>
      <c r="P35" s="5">
        <f>SQRT(AVERAGE(P23:P32))</f>
        <v>0.13930774160714884</v>
      </c>
      <c r="AE35" s="2" t="s">
        <v>116</v>
      </c>
      <c r="AF35" s="5" t="e">
        <f>SQRT(AVERAGE(AF23:AF32))</f>
        <v>#DIV/0!</v>
      </c>
      <c r="AT35" s="2" t="s">
        <v>116</v>
      </c>
      <c r="AU35" s="5" t="e">
        <f>SQRT(AVERAGE(AU23:AU32))</f>
        <v>#DIV/0!</v>
      </c>
      <c r="BI35" s="2" t="s">
        <v>116</v>
      </c>
      <c r="BJ35" s="5" t="e">
        <f>SQRT(AVERAGE(BJ23:BJ32))</f>
        <v>#DIV/0!</v>
      </c>
    </row>
    <row r="36" spans="1:66" x14ac:dyDescent="0.25">
      <c r="A36" s="4"/>
      <c r="B36" s="3"/>
      <c r="O36" s="2" t="s">
        <v>117</v>
      </c>
      <c r="P36" s="5">
        <f>2.77*P35</f>
        <v>0.38588244425180229</v>
      </c>
      <c r="AE36" s="2" t="s">
        <v>117</v>
      </c>
      <c r="AF36" s="5" t="e">
        <f>2.77*AF35</f>
        <v>#DIV/0!</v>
      </c>
      <c r="AT36" s="2" t="s">
        <v>117</v>
      </c>
      <c r="AU36" s="5" t="e">
        <f>2.77*AU35</f>
        <v>#DIV/0!</v>
      </c>
      <c r="BI36" s="2" t="s">
        <v>117</v>
      </c>
      <c r="BJ36" s="5" t="e">
        <f>2.77*BJ35</f>
        <v>#DIV/0!</v>
      </c>
    </row>
    <row r="37" spans="1:66" x14ac:dyDescent="0.25">
      <c r="A37" s="4"/>
      <c r="B37" s="3"/>
      <c r="O37" s="2" t="s">
        <v>118</v>
      </c>
      <c r="P37" s="5">
        <f>P36-(1.96*(P35/(SQRT(2*P34*(P33-1)))))</f>
        <v>0.34939551542245939</v>
      </c>
      <c r="AE37" s="2" t="s">
        <v>118</v>
      </c>
      <c r="AF37" s="5" t="e">
        <f>AF36-(1.96*(AF35/(SQRT(2*AF34*(AF33-1)))))</f>
        <v>#DIV/0!</v>
      </c>
      <c r="AT37" s="2" t="s">
        <v>118</v>
      </c>
      <c r="AU37" s="5" t="e">
        <f>AU36-(1.96*(AU35/(SQRT(2*AU34*(AU33-1)))))</f>
        <v>#DIV/0!</v>
      </c>
      <c r="BI37" s="2" t="s">
        <v>118</v>
      </c>
      <c r="BJ37" s="5" t="e">
        <f>BJ36-(1.96*(BJ35/(SQRT(2*BJ34*(BJ33-1)))))</f>
        <v>#DIV/0!</v>
      </c>
    </row>
    <row r="38" spans="1:66" x14ac:dyDescent="0.25">
      <c r="A38" s="4"/>
      <c r="B38" s="3"/>
      <c r="O38" s="2" t="s">
        <v>119</v>
      </c>
      <c r="P38" s="5">
        <f>P36+(1.96*(P35/(SQRT(2*P34*(P33-1)))))</f>
        <v>0.42236937308114519</v>
      </c>
      <c r="AE38" s="2" t="s">
        <v>119</v>
      </c>
      <c r="AF38" s="5" t="e">
        <f>AF36+(1.96*(AF35/(SQRT(2*AF34*(AF33-1)))))</f>
        <v>#DIV/0!</v>
      </c>
      <c r="AT38" s="2" t="s">
        <v>119</v>
      </c>
      <c r="AU38" s="5" t="e">
        <f>AU36+(1.96*(AU35/(SQRT(2*AU34*(AU33-1)))))</f>
        <v>#DIV/0!</v>
      </c>
      <c r="BI38" s="2" t="s">
        <v>119</v>
      </c>
      <c r="BJ38" s="5" t="e">
        <f>BJ36+(1.96*(BJ35/(SQRT(2*BJ34*(BJ33-1)))))</f>
        <v>#DIV/0!</v>
      </c>
    </row>
    <row r="39" spans="1:66" s="58" customFormat="1" x14ac:dyDescent="0.25">
      <c r="A39" s="56"/>
      <c r="B39" s="57"/>
      <c r="O39" s="59"/>
      <c r="P39" s="60"/>
      <c r="AE39" s="59"/>
      <c r="AF39" s="60"/>
      <c r="AT39" s="59"/>
      <c r="AU39" s="60"/>
      <c r="BI39" s="59"/>
      <c r="BJ39" s="60"/>
    </row>
    <row r="40" spans="1:66" x14ac:dyDescent="0.25">
      <c r="A40" s="68" t="s">
        <v>128</v>
      </c>
      <c r="B40" s="3" t="s">
        <v>100</v>
      </c>
      <c r="C40" s="21" t="s">
        <v>129</v>
      </c>
      <c r="D40">
        <v>1.38</v>
      </c>
      <c r="E40">
        <v>1.39</v>
      </c>
      <c r="F40">
        <v>1.39</v>
      </c>
      <c r="G40">
        <v>1.4</v>
      </c>
      <c r="H40">
        <v>1.39</v>
      </c>
      <c r="I40">
        <v>1.32</v>
      </c>
      <c r="J40">
        <v>1.42</v>
      </c>
      <c r="K40">
        <v>1.41</v>
      </c>
      <c r="L40">
        <v>1.41</v>
      </c>
      <c r="M40">
        <v>1.4</v>
      </c>
      <c r="P40" s="5">
        <f t="shared" ref="P40:P43" si="19">IFERROR(STDEVA(D40:H40),#N/A)</f>
        <v>7.0710678118654814E-3</v>
      </c>
      <c r="Q40">
        <f>MEDIAN(D40:H40)</f>
        <v>1.39</v>
      </c>
      <c r="R40" s="2">
        <f>MAX(J40:O40)</f>
        <v>1.42</v>
      </c>
      <c r="S40" s="27">
        <f t="shared" ref="S40:S43" si="20">100*(R40-Q40)/Q40</f>
        <v>2.1582733812949662</v>
      </c>
    </row>
    <row r="41" spans="1:66" x14ac:dyDescent="0.25">
      <c r="A41" s="68"/>
      <c r="B41" s="3" t="s">
        <v>100</v>
      </c>
      <c r="C41" s="21" t="s">
        <v>130</v>
      </c>
      <c r="D41">
        <v>1.36</v>
      </c>
      <c r="E41">
        <v>1.33</v>
      </c>
      <c r="F41">
        <v>1.33</v>
      </c>
      <c r="G41">
        <v>1.33</v>
      </c>
      <c r="H41">
        <v>1.33</v>
      </c>
      <c r="I41">
        <v>1.3</v>
      </c>
      <c r="J41">
        <v>1.43</v>
      </c>
      <c r="K41">
        <v>1.41</v>
      </c>
      <c r="L41">
        <v>1.39</v>
      </c>
      <c r="M41">
        <v>1.37</v>
      </c>
      <c r="P41" s="5">
        <f t="shared" si="19"/>
        <v>1.3416407864998748E-2</v>
      </c>
      <c r="Q41">
        <f t="shared" ref="Q41:Q44" si="21">MEDIAN(D41:H41)</f>
        <v>1.33</v>
      </c>
      <c r="R41" s="2">
        <f t="shared" ref="R41:R44" si="22">MAX(J41:O41)</f>
        <v>1.43</v>
      </c>
      <c r="S41" s="27">
        <f t="shared" si="20"/>
        <v>7.5187969924811915</v>
      </c>
    </row>
    <row r="42" spans="1:66" x14ac:dyDescent="0.25">
      <c r="A42" s="68"/>
      <c r="B42" s="3" t="s">
        <v>100</v>
      </c>
      <c r="C42" s="21" t="s">
        <v>131</v>
      </c>
      <c r="D42">
        <v>1.4</v>
      </c>
      <c r="E42">
        <v>1.4</v>
      </c>
      <c r="F42">
        <v>1.39</v>
      </c>
      <c r="G42">
        <v>1.41</v>
      </c>
      <c r="H42">
        <v>1.41</v>
      </c>
      <c r="I42">
        <v>1.4</v>
      </c>
      <c r="J42">
        <v>1.45</v>
      </c>
      <c r="K42">
        <v>1.44</v>
      </c>
      <c r="L42">
        <v>1.43</v>
      </c>
      <c r="M42">
        <v>1.42</v>
      </c>
      <c r="N42">
        <v>1.4</v>
      </c>
      <c r="O42">
        <v>1.44</v>
      </c>
      <c r="P42" s="5">
        <f t="shared" si="19"/>
        <v>8.3666002653407633E-3</v>
      </c>
      <c r="Q42">
        <f t="shared" si="21"/>
        <v>1.4</v>
      </c>
      <c r="R42" s="2">
        <f t="shared" si="22"/>
        <v>1.45</v>
      </c>
      <c r="S42" s="27">
        <f t="shared" si="20"/>
        <v>3.5714285714285747</v>
      </c>
      <c r="T42">
        <v>1.42</v>
      </c>
      <c r="U42">
        <v>1.39</v>
      </c>
      <c r="V42">
        <v>1.4</v>
      </c>
      <c r="W42">
        <v>1.38</v>
      </c>
      <c r="X42">
        <v>1.4</v>
      </c>
      <c r="Y42">
        <v>1.37</v>
      </c>
      <c r="Z42">
        <v>1.45</v>
      </c>
      <c r="AA42">
        <v>1.45</v>
      </c>
      <c r="AB42">
        <v>1.44</v>
      </c>
      <c r="AC42">
        <v>1.43</v>
      </c>
      <c r="AD42">
        <v>1.41</v>
      </c>
      <c r="AE42">
        <v>1.42</v>
      </c>
      <c r="AI42">
        <v>1.39</v>
      </c>
      <c r="AJ42">
        <v>1.41</v>
      </c>
      <c r="AK42">
        <v>1.42</v>
      </c>
      <c r="AL42">
        <v>1.42</v>
      </c>
      <c r="AM42">
        <v>1.44</v>
      </c>
      <c r="AN42">
        <v>1.37</v>
      </c>
      <c r="AO42">
        <v>1.44</v>
      </c>
      <c r="AP42">
        <v>1.44</v>
      </c>
      <c r="AQ42">
        <v>1.44</v>
      </c>
      <c r="AR42">
        <v>1.43</v>
      </c>
      <c r="AS42">
        <v>1.42</v>
      </c>
      <c r="AT42">
        <v>1.42</v>
      </c>
      <c r="AX42">
        <v>1.4</v>
      </c>
      <c r="AY42">
        <v>1.4</v>
      </c>
      <c r="AZ42">
        <v>1.42</v>
      </c>
      <c r="BA42">
        <v>1.42</v>
      </c>
      <c r="BB42">
        <v>1.42</v>
      </c>
      <c r="BC42">
        <v>1.38</v>
      </c>
      <c r="BD42">
        <v>1.44</v>
      </c>
      <c r="BE42">
        <v>1.44</v>
      </c>
      <c r="BF42">
        <v>1.44</v>
      </c>
      <c r="BG42">
        <v>1.43</v>
      </c>
      <c r="BH42">
        <v>1.43</v>
      </c>
      <c r="BI42">
        <v>1.44</v>
      </c>
    </row>
    <row r="43" spans="1:66" x14ac:dyDescent="0.25">
      <c r="A43" s="68"/>
      <c r="B43" s="3" t="s">
        <v>100</v>
      </c>
      <c r="C43" s="21" t="s">
        <v>132</v>
      </c>
      <c r="D43">
        <v>1.36</v>
      </c>
      <c r="E43">
        <v>1.35</v>
      </c>
      <c r="F43">
        <v>1.38</v>
      </c>
      <c r="G43">
        <v>1.38</v>
      </c>
      <c r="I43">
        <v>1.41</v>
      </c>
      <c r="J43">
        <v>1.44</v>
      </c>
      <c r="K43">
        <v>1.42</v>
      </c>
      <c r="L43">
        <v>1.4</v>
      </c>
      <c r="M43">
        <v>1.4</v>
      </c>
      <c r="N43">
        <v>1.42</v>
      </c>
      <c r="O43">
        <v>1.42</v>
      </c>
      <c r="P43" s="5">
        <f t="shared" si="19"/>
        <v>1.499999999999989E-2</v>
      </c>
      <c r="Q43">
        <f t="shared" si="21"/>
        <v>1.37</v>
      </c>
      <c r="R43" s="2">
        <f t="shared" si="22"/>
        <v>1.44</v>
      </c>
      <c r="S43" s="27">
        <f t="shared" si="20"/>
        <v>5.1094890510948785</v>
      </c>
    </row>
    <row r="44" spans="1:66" x14ac:dyDescent="0.25">
      <c r="A44" s="68"/>
      <c r="B44" s="3" t="s">
        <v>100</v>
      </c>
      <c r="C44" s="21" t="s">
        <v>133</v>
      </c>
      <c r="D44">
        <v>1.42</v>
      </c>
      <c r="E44">
        <v>1.4</v>
      </c>
      <c r="F44">
        <v>1.4</v>
      </c>
      <c r="G44">
        <v>1.4</v>
      </c>
      <c r="H44">
        <v>1.41</v>
      </c>
      <c r="I44">
        <v>1.39</v>
      </c>
      <c r="J44">
        <v>1.44</v>
      </c>
      <c r="K44">
        <v>1.4</v>
      </c>
      <c r="L44">
        <v>1.4</v>
      </c>
      <c r="M44">
        <v>1.41</v>
      </c>
      <c r="N44">
        <v>1.41</v>
      </c>
      <c r="O44">
        <v>1.41</v>
      </c>
      <c r="P44" s="5">
        <f t="shared" ref="P44:P50" si="23">IFERROR(STDEVA(D44:H44),#N/A)</f>
        <v>8.9442719099991665E-3</v>
      </c>
      <c r="Q44">
        <f t="shared" si="21"/>
        <v>1.4</v>
      </c>
      <c r="R44" s="2">
        <f t="shared" si="22"/>
        <v>1.44</v>
      </c>
      <c r="S44" s="27">
        <f t="shared" ref="S44:S50" si="24">100*(R44-Q44)/Q44</f>
        <v>2.8571428571428599</v>
      </c>
    </row>
    <row r="45" spans="1:66" x14ac:dyDescent="0.25">
      <c r="A45" s="68"/>
      <c r="B45" s="3" t="s">
        <v>100</v>
      </c>
      <c r="C45" s="21" t="s">
        <v>134</v>
      </c>
      <c r="D45">
        <v>1.39</v>
      </c>
      <c r="E45">
        <v>1.41</v>
      </c>
      <c r="F45">
        <v>1.4</v>
      </c>
      <c r="G45">
        <v>1.41</v>
      </c>
      <c r="H45">
        <v>1.4</v>
      </c>
      <c r="I45">
        <v>1.4</v>
      </c>
      <c r="J45">
        <v>1.46</v>
      </c>
      <c r="K45">
        <v>1.44</v>
      </c>
      <c r="L45">
        <v>1.43</v>
      </c>
      <c r="M45">
        <v>1.43</v>
      </c>
      <c r="N45">
        <v>1.44</v>
      </c>
      <c r="O45">
        <v>1.43</v>
      </c>
      <c r="P45" s="5">
        <f t="shared" si="23"/>
        <v>8.3666002653407633E-3</v>
      </c>
      <c r="Q45">
        <f t="shared" ref="Q45:Q50" si="25">MEDIAN(D45:H45)</f>
        <v>1.4</v>
      </c>
      <c r="R45" s="2">
        <f t="shared" ref="R45:R50" si="26">MAX(J45:O45)</f>
        <v>1.46</v>
      </c>
      <c r="S45" s="27">
        <f t="shared" si="24"/>
        <v>4.28571428571429</v>
      </c>
      <c r="T45">
        <v>1.37</v>
      </c>
      <c r="U45">
        <v>1.39</v>
      </c>
      <c r="V45">
        <v>1.38</v>
      </c>
      <c r="W45">
        <v>1.38</v>
      </c>
      <c r="X45">
        <v>1.37</v>
      </c>
      <c r="Y45">
        <v>1.38</v>
      </c>
      <c r="Z45">
        <v>1.47</v>
      </c>
      <c r="AA45">
        <v>1.44</v>
      </c>
      <c r="AB45">
        <v>1.42</v>
      </c>
      <c r="AC45">
        <v>1.41</v>
      </c>
      <c r="AD45">
        <v>1.41</v>
      </c>
      <c r="AE45">
        <v>1.41</v>
      </c>
      <c r="AI45">
        <v>1.42</v>
      </c>
      <c r="AJ45">
        <v>1.42</v>
      </c>
      <c r="AK45">
        <v>1.42</v>
      </c>
      <c r="AL45">
        <v>1.42</v>
      </c>
      <c r="AM45">
        <v>1.42</v>
      </c>
      <c r="AN45">
        <v>1.41</v>
      </c>
      <c r="AO45">
        <v>1.46</v>
      </c>
      <c r="AP45">
        <v>1.46</v>
      </c>
      <c r="AQ45">
        <v>1.45</v>
      </c>
      <c r="AR45">
        <v>1.44</v>
      </c>
      <c r="AS45">
        <v>1.44</v>
      </c>
      <c r="AT45">
        <v>1.44</v>
      </c>
      <c r="AX45">
        <v>1.41</v>
      </c>
      <c r="AY45">
        <v>1.42</v>
      </c>
      <c r="AZ45">
        <v>1.42</v>
      </c>
      <c r="BA45">
        <v>1.42</v>
      </c>
      <c r="BB45">
        <v>1.42</v>
      </c>
      <c r="BC45">
        <v>1.4</v>
      </c>
      <c r="BD45">
        <v>1.45</v>
      </c>
      <c r="BE45">
        <v>1.44</v>
      </c>
      <c r="BF45">
        <v>1.43</v>
      </c>
      <c r="BG45">
        <v>1.43</v>
      </c>
      <c r="BH45">
        <v>1.43</v>
      </c>
      <c r="BI45">
        <v>1.43</v>
      </c>
    </row>
    <row r="46" spans="1:66" x14ac:dyDescent="0.25">
      <c r="A46" s="68"/>
      <c r="B46" s="3" t="s">
        <v>100</v>
      </c>
      <c r="C46" s="21" t="s">
        <v>135</v>
      </c>
      <c r="D46">
        <v>1.39</v>
      </c>
      <c r="E46">
        <v>1.39</v>
      </c>
      <c r="F46">
        <v>1.4</v>
      </c>
      <c r="G46">
        <v>1.4</v>
      </c>
      <c r="H46">
        <v>1.41</v>
      </c>
      <c r="I46">
        <v>1.41</v>
      </c>
      <c r="J46">
        <v>1.39</v>
      </c>
      <c r="K46">
        <v>1.44</v>
      </c>
      <c r="L46">
        <v>1.43</v>
      </c>
      <c r="M46">
        <v>1.43</v>
      </c>
      <c r="N46">
        <v>1.43</v>
      </c>
      <c r="O46">
        <v>1.41</v>
      </c>
      <c r="P46" s="5">
        <f t="shared" si="23"/>
        <v>8.3666002653407633E-3</v>
      </c>
      <c r="Q46">
        <f t="shared" si="25"/>
        <v>1.4</v>
      </c>
      <c r="R46" s="2">
        <f t="shared" si="26"/>
        <v>1.44</v>
      </c>
      <c r="S46" s="27">
        <f t="shared" si="24"/>
        <v>2.8571428571428599</v>
      </c>
    </row>
    <row r="47" spans="1:66" x14ac:dyDescent="0.25">
      <c r="A47" s="68"/>
      <c r="B47" s="3" t="s">
        <v>100</v>
      </c>
      <c r="C47" s="21" t="s">
        <v>136</v>
      </c>
      <c r="D47">
        <v>1.41</v>
      </c>
      <c r="E47">
        <v>1.42</v>
      </c>
      <c r="F47">
        <v>1.41</v>
      </c>
      <c r="G47">
        <v>1.42</v>
      </c>
      <c r="H47">
        <v>1.41</v>
      </c>
      <c r="I47">
        <v>1.39</v>
      </c>
      <c r="J47">
        <v>1.45</v>
      </c>
      <c r="K47">
        <v>1.4</v>
      </c>
      <c r="L47">
        <v>1.42</v>
      </c>
      <c r="M47">
        <v>1.4</v>
      </c>
      <c r="N47">
        <v>1.41</v>
      </c>
      <c r="O47">
        <v>1.41</v>
      </c>
      <c r="P47" s="5">
        <f t="shared" si="23"/>
        <v>5.4772255750516656E-3</v>
      </c>
      <c r="Q47">
        <f t="shared" si="25"/>
        <v>1.41</v>
      </c>
      <c r="R47" s="2">
        <f t="shared" si="26"/>
        <v>1.45</v>
      </c>
      <c r="S47" s="27">
        <f t="shared" si="24"/>
        <v>2.8368794326241162</v>
      </c>
    </row>
    <row r="48" spans="1:66" x14ac:dyDescent="0.25">
      <c r="A48" s="68"/>
      <c r="B48" s="3" t="s">
        <v>100</v>
      </c>
      <c r="C48" s="21" t="s">
        <v>137</v>
      </c>
      <c r="D48">
        <v>1.42</v>
      </c>
      <c r="E48">
        <v>1.42</v>
      </c>
      <c r="F48">
        <v>1.43</v>
      </c>
      <c r="G48">
        <v>1.43</v>
      </c>
      <c r="H48">
        <v>1.42</v>
      </c>
      <c r="I48">
        <v>1.33</v>
      </c>
      <c r="J48">
        <v>1.46</v>
      </c>
      <c r="K48">
        <v>1.45</v>
      </c>
      <c r="L48">
        <v>1.44</v>
      </c>
      <c r="M48">
        <v>1.44</v>
      </c>
      <c r="N48">
        <v>1.44</v>
      </c>
      <c r="O48">
        <v>1.44</v>
      </c>
      <c r="P48" s="5">
        <f t="shared" si="23"/>
        <v>5.4772255750516656E-3</v>
      </c>
      <c r="Q48">
        <f t="shared" si="25"/>
        <v>1.42</v>
      </c>
      <c r="R48" s="2">
        <f t="shared" si="26"/>
        <v>1.46</v>
      </c>
      <c r="S48" s="27">
        <f t="shared" si="24"/>
        <v>2.8169014084507067</v>
      </c>
    </row>
    <row r="49" spans="1:66" x14ac:dyDescent="0.25">
      <c r="A49" s="68"/>
      <c r="B49" s="3" t="s">
        <v>100</v>
      </c>
      <c r="C49" s="21" t="s">
        <v>138</v>
      </c>
      <c r="D49">
        <v>1.37</v>
      </c>
      <c r="E49">
        <v>1.38</v>
      </c>
      <c r="F49">
        <v>1.41</v>
      </c>
      <c r="G49">
        <v>1.41</v>
      </c>
      <c r="H49">
        <v>1.4</v>
      </c>
      <c r="I49">
        <v>1.37</v>
      </c>
      <c r="J49">
        <v>1.45</v>
      </c>
      <c r="K49">
        <v>1.43</v>
      </c>
      <c r="L49">
        <v>1.42</v>
      </c>
      <c r="M49">
        <v>1.41</v>
      </c>
      <c r="N49">
        <v>1.41</v>
      </c>
      <c r="O49">
        <v>1.42</v>
      </c>
      <c r="P49" s="5">
        <f t="shared" si="23"/>
        <v>1.8165902124584892E-2</v>
      </c>
      <c r="Q49">
        <f t="shared" si="25"/>
        <v>1.4</v>
      </c>
      <c r="R49" s="2">
        <f t="shared" si="26"/>
        <v>1.45</v>
      </c>
      <c r="S49" s="27">
        <f t="shared" si="24"/>
        <v>3.5714285714285747</v>
      </c>
    </row>
    <row r="50" spans="1:66" x14ac:dyDescent="0.25">
      <c r="A50" s="68"/>
      <c r="B50" s="3" t="s">
        <v>100</v>
      </c>
      <c r="C50" s="21" t="s">
        <v>139</v>
      </c>
      <c r="D50">
        <v>1.38</v>
      </c>
      <c r="E50">
        <v>1.38</v>
      </c>
      <c r="F50">
        <v>1.4</v>
      </c>
      <c r="G50">
        <v>1.41</v>
      </c>
      <c r="H50">
        <v>1.41</v>
      </c>
      <c r="I50">
        <v>1.37</v>
      </c>
      <c r="J50">
        <v>1.46</v>
      </c>
      <c r="K50">
        <v>1.46</v>
      </c>
      <c r="L50">
        <v>1.44</v>
      </c>
      <c r="M50">
        <v>1.43</v>
      </c>
      <c r="N50">
        <v>1.42</v>
      </c>
      <c r="O50">
        <v>1.41</v>
      </c>
      <c r="P50" s="5">
        <f t="shared" si="23"/>
        <v>1.5165750888103114E-2</v>
      </c>
      <c r="Q50">
        <f t="shared" si="25"/>
        <v>1.4</v>
      </c>
      <c r="R50" s="2">
        <f t="shared" si="26"/>
        <v>1.46</v>
      </c>
      <c r="S50" s="27">
        <f t="shared" si="24"/>
        <v>4.28571428571429</v>
      </c>
      <c r="T50">
        <v>1.41</v>
      </c>
      <c r="U50">
        <v>1.4</v>
      </c>
      <c r="V50">
        <v>1.41</v>
      </c>
      <c r="W50">
        <v>1.42</v>
      </c>
      <c r="X50">
        <v>1.42</v>
      </c>
      <c r="Y50">
        <v>1.38</v>
      </c>
      <c r="Z50">
        <v>1.46</v>
      </c>
      <c r="AA50">
        <v>1.45</v>
      </c>
      <c r="AB50">
        <v>1.44</v>
      </c>
      <c r="AC50">
        <v>1.43</v>
      </c>
      <c r="AD50">
        <v>1.43</v>
      </c>
      <c r="AE50">
        <v>1.43</v>
      </c>
      <c r="AI50">
        <v>1.4</v>
      </c>
      <c r="AJ50">
        <v>1.4</v>
      </c>
      <c r="AK50">
        <v>1.4</v>
      </c>
      <c r="AL50">
        <v>1.42</v>
      </c>
      <c r="AM50">
        <v>1.42</v>
      </c>
      <c r="AN50">
        <v>1.39</v>
      </c>
      <c r="AO50">
        <v>1.46</v>
      </c>
      <c r="AP50">
        <v>1.45</v>
      </c>
      <c r="AQ50">
        <v>1.43</v>
      </c>
      <c r="AR50">
        <v>1.43</v>
      </c>
      <c r="AS50">
        <v>1.43</v>
      </c>
      <c r="AT50">
        <v>1.42</v>
      </c>
      <c r="AX50">
        <v>1.38</v>
      </c>
      <c r="AY50">
        <v>1.4</v>
      </c>
      <c r="AZ50">
        <v>1.42</v>
      </c>
      <c r="BA50">
        <v>1.4</v>
      </c>
      <c r="BB50">
        <v>1.41</v>
      </c>
      <c r="BC50">
        <v>1.39</v>
      </c>
      <c r="BD50">
        <v>1.46</v>
      </c>
      <c r="BE50">
        <v>1.44</v>
      </c>
      <c r="BF50">
        <v>1.43</v>
      </c>
      <c r="BG50">
        <v>1.43</v>
      </c>
      <c r="BH50">
        <v>1.42</v>
      </c>
      <c r="BI50">
        <v>1.44</v>
      </c>
    </row>
    <row r="51" spans="1:66" x14ac:dyDescent="0.25">
      <c r="A51" s="68"/>
      <c r="B51" s="3"/>
      <c r="C51" s="21"/>
      <c r="P51" s="31" t="s">
        <v>110</v>
      </c>
      <c r="Q51" s="30">
        <f>AVERAGE(Q41:Q50)</f>
        <v>1.3930000000000002</v>
      </c>
      <c r="R51" s="30">
        <f>AVERAGE(R42:R50)</f>
        <v>1.4500000000000002</v>
      </c>
      <c r="S51" s="29">
        <f>AVERAGE(S40:S50)</f>
        <v>3.8062646995015736</v>
      </c>
    </row>
    <row r="52" spans="1:66" x14ac:dyDescent="0.25">
      <c r="A52" s="68"/>
      <c r="B52" s="3"/>
      <c r="P52" s="31" t="s">
        <v>111</v>
      </c>
      <c r="Q52" s="29">
        <f>STDEVA(Q41:Q50)</f>
        <v>2.5407785333545943E-2</v>
      </c>
      <c r="R52" s="29">
        <f>STDEVA(R42:R50)</f>
        <v>8.6602540378443935E-3</v>
      </c>
      <c r="S52" s="29">
        <f>STDEVA(S40:S50)</f>
        <v>1.4995805082764067</v>
      </c>
    </row>
    <row r="53" spans="1:66" ht="16.5" thickBot="1" x14ac:dyDescent="0.3">
      <c r="A53" s="68"/>
      <c r="B53" s="3"/>
      <c r="P53" s="31" t="s">
        <v>112</v>
      </c>
      <c r="Q53" s="32">
        <f>Q52/Q51</f>
        <v>1.8239616176271314E-2</v>
      </c>
      <c r="R53" s="32">
        <f>R52/R51</f>
        <v>5.9725889916168225E-3</v>
      </c>
      <c r="S53" s="32">
        <f>S52/S51</f>
        <v>0.39397693714595705</v>
      </c>
    </row>
    <row r="54" spans="1:66" x14ac:dyDescent="0.25">
      <c r="A54" s="4"/>
      <c r="B54" s="3"/>
      <c r="N54" s="9"/>
      <c r="O54" s="8" t="s">
        <v>113</v>
      </c>
      <c r="P54" s="10">
        <v>5</v>
      </c>
      <c r="Q54" s="15" t="s">
        <v>114</v>
      </c>
      <c r="R54" s="16"/>
      <c r="S54" s="16"/>
      <c r="T54" s="16"/>
      <c r="U54" s="17"/>
      <c r="AC54" s="9"/>
      <c r="AD54" s="9"/>
      <c r="AE54" s="8" t="s">
        <v>113</v>
      </c>
      <c r="AF54" s="10">
        <v>5</v>
      </c>
      <c r="AG54" s="15" t="s">
        <v>114</v>
      </c>
      <c r="AH54" s="16"/>
      <c r="AI54" s="11"/>
      <c r="AJ54" s="12"/>
      <c r="AR54" s="9"/>
      <c r="AS54" s="9"/>
      <c r="AT54" s="8" t="s">
        <v>113</v>
      </c>
      <c r="AU54" s="10">
        <v>5</v>
      </c>
      <c r="AV54" s="15" t="s">
        <v>114</v>
      </c>
      <c r="AW54" s="16"/>
      <c r="AX54" s="11"/>
      <c r="AY54" s="12"/>
      <c r="BG54" s="9"/>
      <c r="BH54" s="9"/>
      <c r="BI54" s="8" t="s">
        <v>113</v>
      </c>
      <c r="BJ54" s="10">
        <v>5</v>
      </c>
      <c r="BK54" s="15" t="s">
        <v>114</v>
      </c>
      <c r="BL54" s="16"/>
      <c r="BM54" s="11"/>
      <c r="BN54" s="12"/>
    </row>
    <row r="55" spans="1:66" ht="16.5" thickBot="1" x14ac:dyDescent="0.3">
      <c r="A55" s="4"/>
      <c r="B55" s="3"/>
      <c r="N55" s="9"/>
      <c r="O55" s="8" t="s">
        <v>115</v>
      </c>
      <c r="P55" s="10">
        <v>11</v>
      </c>
      <c r="Q55" s="18" t="s">
        <v>114</v>
      </c>
      <c r="R55" s="54"/>
      <c r="S55" s="13"/>
      <c r="T55" s="13"/>
      <c r="U55" s="14"/>
      <c r="AC55" s="9"/>
      <c r="AD55" s="9"/>
      <c r="AE55" s="8" t="s">
        <v>115</v>
      </c>
      <c r="AF55" s="10">
        <v>10</v>
      </c>
      <c r="AG55" s="18" t="s">
        <v>114</v>
      </c>
      <c r="AH55" s="13"/>
      <c r="AI55" s="13"/>
      <c r="AJ55" s="14"/>
      <c r="AR55" s="9"/>
      <c r="AS55" s="9"/>
      <c r="AT55" s="8" t="s">
        <v>115</v>
      </c>
      <c r="AU55" s="10">
        <v>10</v>
      </c>
      <c r="AV55" s="18" t="s">
        <v>114</v>
      </c>
      <c r="AW55" s="13"/>
      <c r="AX55" s="13"/>
      <c r="AY55" s="14"/>
      <c r="BG55" s="9"/>
      <c r="BH55" s="9"/>
      <c r="BI55" s="8" t="s">
        <v>115</v>
      </c>
      <c r="BJ55" s="10">
        <v>10</v>
      </c>
      <c r="BK55" s="18" t="s">
        <v>114</v>
      </c>
      <c r="BL55" s="13"/>
      <c r="BM55" s="13"/>
      <c r="BN55" s="14"/>
    </row>
    <row r="56" spans="1:66" x14ac:dyDescent="0.25">
      <c r="A56" s="4"/>
      <c r="B56" s="3"/>
      <c r="O56" s="2" t="s">
        <v>116</v>
      </c>
      <c r="P56" s="5">
        <f>SQRT(AVERAGE(P40:P53))</f>
        <v>0.10172049607790096</v>
      </c>
      <c r="AE56" s="2" t="s">
        <v>116</v>
      </c>
      <c r="AF56" s="5" t="e">
        <f>SQRT(AVERAGE(AF40:AF53))</f>
        <v>#DIV/0!</v>
      </c>
      <c r="AT56" s="2" t="s">
        <v>116</v>
      </c>
      <c r="AU56" s="5" t="e">
        <f>SQRT(AVERAGE(AU40:AU53))</f>
        <v>#DIV/0!</v>
      </c>
      <c r="BI56" s="2" t="s">
        <v>116</v>
      </c>
      <c r="BJ56" s="5" t="e">
        <f>SQRT(AVERAGE(BJ40:BJ53))</f>
        <v>#DIV/0!</v>
      </c>
    </row>
    <row r="57" spans="1:66" x14ac:dyDescent="0.25">
      <c r="A57" s="4"/>
      <c r="B57" s="3"/>
      <c r="O57" s="2" t="s">
        <v>117</v>
      </c>
      <c r="P57" s="5">
        <f>2.77*P56</f>
        <v>0.28176577413578563</v>
      </c>
      <c r="AE57" s="2" t="s">
        <v>117</v>
      </c>
      <c r="AF57" s="5" t="e">
        <f>2.77*AF56</f>
        <v>#DIV/0!</v>
      </c>
      <c r="AT57" s="2" t="s">
        <v>117</v>
      </c>
      <c r="AU57" s="5" t="e">
        <f>2.77*AU56</f>
        <v>#DIV/0!</v>
      </c>
      <c r="BI57" s="2" t="s">
        <v>117</v>
      </c>
      <c r="BJ57" s="5" t="e">
        <f>2.77*BJ56</f>
        <v>#DIV/0!</v>
      </c>
    </row>
    <row r="58" spans="1:66" x14ac:dyDescent="0.25">
      <c r="A58" s="4"/>
      <c r="B58" s="3"/>
      <c r="O58" s="2" t="s">
        <v>118</v>
      </c>
      <c r="P58" s="5">
        <f>P57-(1.96*(P56/(SQRT(2*P55*(P54-1)))))</f>
        <v>0.2605126291565662</v>
      </c>
      <c r="AE58" s="2" t="s">
        <v>118</v>
      </c>
      <c r="AF58" s="5" t="e">
        <f>AF57-(1.96*(AF56/(SQRT(2*AF55*(AF54-1)))))</f>
        <v>#DIV/0!</v>
      </c>
      <c r="AT58" s="2" t="s">
        <v>118</v>
      </c>
      <c r="AU58" s="5" t="e">
        <f>AU57-(1.96*(AU56/(SQRT(2*AU55*(AU54-1)))))</f>
        <v>#DIV/0!</v>
      </c>
      <c r="BI58" s="2" t="s">
        <v>118</v>
      </c>
      <c r="BJ58" s="5" t="e">
        <f>BJ57-(1.96*(BJ56/(SQRT(2*BJ55*(BJ54-1)))))</f>
        <v>#DIV/0!</v>
      </c>
    </row>
    <row r="59" spans="1:66" x14ac:dyDescent="0.25">
      <c r="A59" s="4"/>
      <c r="B59" s="3"/>
      <c r="O59" s="2" t="s">
        <v>119</v>
      </c>
      <c r="P59" s="5">
        <f>P57+(1.96*(P56/(SQRT(2*P55*(P54-1)))))</f>
        <v>0.30301891911500506</v>
      </c>
      <c r="AE59" s="2" t="s">
        <v>119</v>
      </c>
      <c r="AF59" s="5" t="e">
        <f>AF57+(1.96*(AF56/(SQRT(2*AF55*(AF54-1)))))</f>
        <v>#DIV/0!</v>
      </c>
      <c r="AT59" s="2" t="s">
        <v>119</v>
      </c>
      <c r="AU59" s="5" t="e">
        <f>AU57+(1.96*(AU56/(SQRT(2*AU55*(AU54-1)))))</f>
        <v>#DIV/0!</v>
      </c>
      <c r="BI59" s="2" t="s">
        <v>119</v>
      </c>
      <c r="BJ59" s="5" t="e">
        <f>BJ57+(1.96*(BJ56/(SQRT(2*BJ55*(BJ54-1)))))</f>
        <v>#DIV/0!</v>
      </c>
    </row>
    <row r="60" spans="1:66" s="58" customFormat="1" x14ac:dyDescent="0.25">
      <c r="A60" s="56"/>
      <c r="B60" s="57"/>
      <c r="O60" s="59"/>
      <c r="P60" s="60"/>
      <c r="AE60" s="59"/>
      <c r="AF60" s="60"/>
      <c r="AT60" s="59"/>
      <c r="AU60" s="60"/>
      <c r="BI60" s="59"/>
      <c r="BJ60" s="60"/>
    </row>
    <row r="61" spans="1:66" x14ac:dyDescent="0.25">
      <c r="A61" s="73" t="s">
        <v>140</v>
      </c>
      <c r="B61" s="3" t="s">
        <v>100</v>
      </c>
      <c r="C61" s="21" t="s">
        <v>141</v>
      </c>
      <c r="D61">
        <v>1.38</v>
      </c>
      <c r="E61">
        <v>1.37</v>
      </c>
      <c r="F61">
        <v>1.39</v>
      </c>
      <c r="G61">
        <v>1.4</v>
      </c>
      <c r="H61">
        <v>1.44</v>
      </c>
      <c r="I61">
        <v>1.35</v>
      </c>
      <c r="J61">
        <v>1.41</v>
      </c>
      <c r="K61">
        <v>1.44</v>
      </c>
      <c r="L61">
        <v>1.43</v>
      </c>
      <c r="M61">
        <v>1.42</v>
      </c>
      <c r="P61" s="5">
        <f t="shared" ref="P61:P64" si="27">IFERROR(STDEVA(D61:H61),#N/A)</f>
        <v>2.7018512172212562E-2</v>
      </c>
      <c r="Q61">
        <f>MEDIAN(D61:H61)</f>
        <v>1.39</v>
      </c>
      <c r="R61" s="2">
        <f>MAX(J61:O61)</f>
        <v>1.44</v>
      </c>
      <c r="S61" s="27">
        <f t="shared" ref="S61:S64" si="28">100*(R61-Q61)/Q61</f>
        <v>3.5971223021582768</v>
      </c>
    </row>
    <row r="62" spans="1:66" x14ac:dyDescent="0.25">
      <c r="A62" s="73"/>
      <c r="B62" s="3" t="s">
        <v>100</v>
      </c>
      <c r="C62" s="21" t="s">
        <v>142</v>
      </c>
      <c r="D62">
        <v>1.36</v>
      </c>
      <c r="E62">
        <v>1.38</v>
      </c>
      <c r="F62">
        <v>1.36</v>
      </c>
      <c r="G62">
        <v>1.34</v>
      </c>
      <c r="H62">
        <v>1.35</v>
      </c>
      <c r="I62">
        <v>1.31</v>
      </c>
      <c r="J62">
        <v>1.43</v>
      </c>
      <c r="K62">
        <v>1.43</v>
      </c>
      <c r="L62">
        <v>1.43</v>
      </c>
      <c r="M62">
        <v>1.43</v>
      </c>
      <c r="P62" s="5">
        <f t="shared" si="27"/>
        <v>1.4832396974191257E-2</v>
      </c>
      <c r="Q62">
        <f t="shared" ref="Q62:Q65" si="29">MEDIAN(D62:H62)</f>
        <v>1.36</v>
      </c>
      <c r="R62" s="2">
        <f t="shared" ref="R62:R65" si="30">MAX(J62:O62)</f>
        <v>1.43</v>
      </c>
      <c r="S62" s="27">
        <f t="shared" si="28"/>
        <v>5.1470588235293997</v>
      </c>
    </row>
    <row r="63" spans="1:66" x14ac:dyDescent="0.25">
      <c r="A63" s="73"/>
      <c r="B63" s="3" t="s">
        <v>100</v>
      </c>
      <c r="C63" s="21" t="s">
        <v>143</v>
      </c>
      <c r="D63">
        <v>1.37</v>
      </c>
      <c r="E63">
        <v>1.37</v>
      </c>
      <c r="F63">
        <v>1.37</v>
      </c>
      <c r="G63">
        <v>1.38</v>
      </c>
      <c r="H63">
        <v>1.38</v>
      </c>
      <c r="I63">
        <v>1.38</v>
      </c>
      <c r="J63">
        <v>1.42</v>
      </c>
      <c r="K63">
        <v>1.41</v>
      </c>
      <c r="L63">
        <v>1.39</v>
      </c>
      <c r="M63">
        <v>1.38</v>
      </c>
      <c r="P63" s="5">
        <f t="shared" si="27"/>
        <v>5.4772255750515442E-3</v>
      </c>
      <c r="Q63">
        <f t="shared" si="29"/>
        <v>1.37</v>
      </c>
      <c r="R63" s="2">
        <f t="shared" si="30"/>
        <v>1.42</v>
      </c>
      <c r="S63" s="27">
        <f t="shared" si="28"/>
        <v>3.649635036496337</v>
      </c>
    </row>
    <row r="64" spans="1:66" x14ac:dyDescent="0.25">
      <c r="A64" s="73"/>
      <c r="B64" s="3" t="s">
        <v>100</v>
      </c>
      <c r="C64" s="21" t="s">
        <v>144</v>
      </c>
      <c r="D64">
        <v>1.44</v>
      </c>
      <c r="E64">
        <v>1.44</v>
      </c>
      <c r="F64">
        <v>1.44</v>
      </c>
      <c r="G64">
        <v>1.45</v>
      </c>
      <c r="H64">
        <v>1.41</v>
      </c>
      <c r="I64">
        <v>1.47</v>
      </c>
      <c r="J64">
        <v>1.46</v>
      </c>
      <c r="K64">
        <v>1.45</v>
      </c>
      <c r="L64">
        <v>1.45</v>
      </c>
      <c r="M64">
        <v>1.44</v>
      </c>
      <c r="N64">
        <v>1.44</v>
      </c>
      <c r="P64" s="5">
        <f t="shared" si="27"/>
        <v>1.5165750888103114E-2</v>
      </c>
      <c r="Q64">
        <f t="shared" si="29"/>
        <v>1.44</v>
      </c>
      <c r="R64" s="2">
        <f t="shared" si="30"/>
        <v>1.46</v>
      </c>
      <c r="S64" s="27">
        <f t="shared" si="28"/>
        <v>1.3888888888888902</v>
      </c>
    </row>
    <row r="65" spans="1:66" x14ac:dyDescent="0.25">
      <c r="A65" s="73"/>
      <c r="B65" s="3" t="s">
        <v>100</v>
      </c>
      <c r="C65" s="21" t="s">
        <v>145</v>
      </c>
      <c r="D65">
        <v>1.41</v>
      </c>
      <c r="E65">
        <v>1.41</v>
      </c>
      <c r="F65">
        <v>1.4</v>
      </c>
      <c r="G65">
        <v>1.4</v>
      </c>
      <c r="H65">
        <v>1.4</v>
      </c>
      <c r="I65">
        <v>1.36</v>
      </c>
      <c r="J65">
        <v>1.37</v>
      </c>
      <c r="K65">
        <v>1.41</v>
      </c>
      <c r="L65">
        <v>1.39</v>
      </c>
      <c r="M65">
        <v>1.36</v>
      </c>
      <c r="N65">
        <v>1.37</v>
      </c>
      <c r="O65">
        <v>1.37</v>
      </c>
      <c r="P65" s="5">
        <f t="shared" ref="P65:P70" si="31">IFERROR(STDEVA(D65:H65),#N/A)</f>
        <v>5.4772255750516665E-3</v>
      </c>
      <c r="Q65">
        <f t="shared" si="29"/>
        <v>1.4</v>
      </c>
      <c r="R65" s="2">
        <f t="shared" si="30"/>
        <v>1.41</v>
      </c>
      <c r="S65" s="27">
        <f t="shared" ref="S65:S70" si="32">100*(R65-Q65)/Q65</f>
        <v>0.71428571428571497</v>
      </c>
      <c r="T65">
        <v>1.42</v>
      </c>
      <c r="U65">
        <v>1.4</v>
      </c>
      <c r="V65">
        <v>1.39</v>
      </c>
      <c r="W65">
        <v>1.41</v>
      </c>
      <c r="X65">
        <v>1.4</v>
      </c>
      <c r="Y65">
        <v>1.41</v>
      </c>
      <c r="Z65">
        <v>1.44</v>
      </c>
      <c r="AA65">
        <v>1.44</v>
      </c>
      <c r="AB65">
        <v>1.44</v>
      </c>
      <c r="AC65">
        <v>1.43</v>
      </c>
      <c r="AD65">
        <v>1.43</v>
      </c>
      <c r="AE65">
        <v>1.43</v>
      </c>
      <c r="AI65">
        <v>1.38</v>
      </c>
      <c r="AJ65">
        <v>1.37</v>
      </c>
      <c r="AK65">
        <v>1.4</v>
      </c>
      <c r="AL65">
        <v>1.43</v>
      </c>
      <c r="AM65">
        <v>1.42</v>
      </c>
      <c r="AN65">
        <v>1.36</v>
      </c>
      <c r="AO65">
        <v>1.44</v>
      </c>
      <c r="AP65">
        <v>1.44</v>
      </c>
      <c r="AQ65">
        <v>1.42</v>
      </c>
      <c r="AR65">
        <v>1.41</v>
      </c>
      <c r="AS65">
        <v>1.42</v>
      </c>
      <c r="AT65">
        <v>1.43</v>
      </c>
    </row>
    <row r="66" spans="1:66" x14ac:dyDescent="0.25">
      <c r="A66" s="73"/>
      <c r="B66" s="3" t="s">
        <v>100</v>
      </c>
      <c r="C66" s="21" t="s">
        <v>146</v>
      </c>
      <c r="D66">
        <v>1.38</v>
      </c>
      <c r="E66">
        <v>1.39</v>
      </c>
      <c r="F66">
        <v>1.39</v>
      </c>
      <c r="G66">
        <v>1.4</v>
      </c>
      <c r="H66">
        <v>1.4</v>
      </c>
      <c r="I66">
        <v>1.38</v>
      </c>
      <c r="J66">
        <v>1.44</v>
      </c>
      <c r="K66">
        <v>1.41</v>
      </c>
      <c r="L66">
        <v>1.39</v>
      </c>
      <c r="M66">
        <v>1.41</v>
      </c>
      <c r="N66">
        <v>1.41</v>
      </c>
      <c r="O66">
        <v>1.4</v>
      </c>
      <c r="P66" s="5">
        <f t="shared" si="31"/>
        <v>8.3666002653407633E-3</v>
      </c>
      <c r="Q66">
        <f t="shared" ref="Q66:Q70" si="33">MEDIAN(D66:H66)</f>
        <v>1.39</v>
      </c>
      <c r="R66" s="2">
        <f t="shared" ref="R66:R70" si="34">MAX(J66:O66)</f>
        <v>1.44</v>
      </c>
      <c r="S66" s="27">
        <f t="shared" si="32"/>
        <v>3.5971223021582768</v>
      </c>
    </row>
    <row r="67" spans="1:66" x14ac:dyDescent="0.25">
      <c r="A67" s="73"/>
      <c r="B67" s="3" t="s">
        <v>100</v>
      </c>
      <c r="C67" s="21" t="s">
        <v>147</v>
      </c>
      <c r="D67">
        <v>1.42</v>
      </c>
      <c r="E67">
        <v>1.41</v>
      </c>
      <c r="F67">
        <v>1.4</v>
      </c>
      <c r="G67">
        <v>1.39</v>
      </c>
      <c r="H67">
        <v>1.41</v>
      </c>
      <c r="I67">
        <v>1.41</v>
      </c>
      <c r="J67">
        <v>1.46</v>
      </c>
      <c r="K67">
        <v>1.43</v>
      </c>
      <c r="L67">
        <v>1.42</v>
      </c>
      <c r="M67">
        <v>1.42</v>
      </c>
      <c r="N67">
        <v>1.42</v>
      </c>
      <c r="O67">
        <v>1.42</v>
      </c>
      <c r="P67" s="5">
        <f t="shared" si="31"/>
        <v>1.1401754250991389E-2</v>
      </c>
      <c r="Q67">
        <f t="shared" si="33"/>
        <v>1.41</v>
      </c>
      <c r="R67" s="2">
        <f t="shared" si="34"/>
        <v>1.46</v>
      </c>
      <c r="S67" s="27">
        <f t="shared" si="32"/>
        <v>3.5460992907801452</v>
      </c>
    </row>
    <row r="68" spans="1:66" x14ac:dyDescent="0.25">
      <c r="A68" s="73"/>
      <c r="B68" s="3" t="s">
        <v>100</v>
      </c>
      <c r="C68" s="21" t="s">
        <v>148</v>
      </c>
      <c r="D68">
        <v>1.4</v>
      </c>
      <c r="E68">
        <v>1.38</v>
      </c>
      <c r="F68">
        <v>1.4</v>
      </c>
      <c r="G68">
        <v>1.41</v>
      </c>
      <c r="H68">
        <v>1.39</v>
      </c>
      <c r="I68">
        <v>1.42</v>
      </c>
      <c r="J68">
        <v>1.45</v>
      </c>
      <c r="K68">
        <v>1.42</v>
      </c>
      <c r="L68">
        <v>1.41</v>
      </c>
      <c r="M68">
        <v>1.41</v>
      </c>
      <c r="N68">
        <v>1.41</v>
      </c>
      <c r="O68">
        <v>1.41</v>
      </c>
      <c r="P68" s="5">
        <f t="shared" si="31"/>
        <v>1.1401754250991389E-2</v>
      </c>
      <c r="Q68">
        <f t="shared" si="33"/>
        <v>1.4</v>
      </c>
      <c r="R68" s="2">
        <f t="shared" si="34"/>
        <v>1.45</v>
      </c>
      <c r="S68" s="27">
        <f t="shared" si="32"/>
        <v>3.5714285714285747</v>
      </c>
      <c r="T68">
        <v>1.41</v>
      </c>
      <c r="U68">
        <v>1.42</v>
      </c>
      <c r="V68">
        <v>1.42</v>
      </c>
      <c r="W68">
        <v>1.41</v>
      </c>
      <c r="X68">
        <v>1.41</v>
      </c>
      <c r="Y68">
        <v>1.42</v>
      </c>
      <c r="Z68">
        <v>1.46</v>
      </c>
      <c r="AA68">
        <v>1.44</v>
      </c>
      <c r="AB68">
        <v>1.44</v>
      </c>
      <c r="AC68">
        <v>1.43</v>
      </c>
      <c r="AD68">
        <v>1.43</v>
      </c>
      <c r="AE68">
        <v>1.43</v>
      </c>
      <c r="AI68">
        <v>1.43</v>
      </c>
      <c r="AJ68">
        <v>1.43</v>
      </c>
      <c r="AK68">
        <v>1.44</v>
      </c>
      <c r="AL68">
        <v>1.44</v>
      </c>
      <c r="AM68">
        <v>1.44</v>
      </c>
      <c r="AN68">
        <v>1.42</v>
      </c>
      <c r="AO68">
        <v>1.44</v>
      </c>
      <c r="AP68">
        <v>1.43</v>
      </c>
      <c r="AQ68">
        <v>1.43</v>
      </c>
      <c r="AR68">
        <v>1.43</v>
      </c>
      <c r="AS68">
        <v>1.43</v>
      </c>
      <c r="AT68">
        <v>1.43</v>
      </c>
      <c r="AX68">
        <v>1.43</v>
      </c>
      <c r="AY68">
        <v>1.43</v>
      </c>
      <c r="AZ68">
        <v>1.41</v>
      </c>
      <c r="BA68">
        <v>1.41</v>
      </c>
      <c r="BB68">
        <v>1.42</v>
      </c>
      <c r="BC68">
        <v>1.42</v>
      </c>
      <c r="BD68">
        <v>1.44</v>
      </c>
      <c r="BE68">
        <v>1.44</v>
      </c>
      <c r="BF68">
        <v>1.42</v>
      </c>
      <c r="BG68">
        <v>1.41</v>
      </c>
      <c r="BH68">
        <v>1.42</v>
      </c>
      <c r="BI68">
        <v>1.42</v>
      </c>
    </row>
    <row r="69" spans="1:66" x14ac:dyDescent="0.25">
      <c r="A69" s="73"/>
      <c r="B69" s="3" t="s">
        <v>100</v>
      </c>
      <c r="C69" s="21" t="s">
        <v>149</v>
      </c>
      <c r="D69">
        <v>1.41</v>
      </c>
      <c r="E69">
        <v>1.43</v>
      </c>
      <c r="F69">
        <v>1.43</v>
      </c>
      <c r="G69">
        <v>1.45</v>
      </c>
      <c r="H69">
        <v>1.45</v>
      </c>
      <c r="I69">
        <v>1.38</v>
      </c>
      <c r="J69">
        <v>1.46</v>
      </c>
      <c r="K69">
        <v>1.46</v>
      </c>
      <c r="L69">
        <v>1.45</v>
      </c>
      <c r="M69">
        <v>1.44</v>
      </c>
      <c r="N69">
        <v>1.43</v>
      </c>
      <c r="O69">
        <v>1.43</v>
      </c>
      <c r="P69" s="5">
        <f t="shared" si="31"/>
        <v>1.6733200530681527E-2</v>
      </c>
      <c r="Q69">
        <f t="shared" si="33"/>
        <v>1.43</v>
      </c>
      <c r="R69" s="2">
        <f t="shared" si="34"/>
        <v>1.46</v>
      </c>
      <c r="S69" s="27">
        <f t="shared" si="32"/>
        <v>2.0979020979020997</v>
      </c>
      <c r="T69">
        <v>1.41</v>
      </c>
      <c r="U69">
        <v>1.41</v>
      </c>
      <c r="V69">
        <v>1.42</v>
      </c>
      <c r="W69">
        <v>1.43</v>
      </c>
      <c r="X69">
        <v>1.41</v>
      </c>
      <c r="Y69">
        <v>1.37</v>
      </c>
      <c r="Z69">
        <v>1.46</v>
      </c>
      <c r="AA69">
        <v>1.45</v>
      </c>
      <c r="AB69">
        <v>1.45</v>
      </c>
      <c r="AC69">
        <v>1.44</v>
      </c>
      <c r="AD69">
        <v>1.43</v>
      </c>
      <c r="AE69">
        <v>1.43</v>
      </c>
    </row>
    <row r="70" spans="1:66" x14ac:dyDescent="0.25">
      <c r="A70" s="73"/>
      <c r="B70" s="3" t="s">
        <v>100</v>
      </c>
      <c r="C70" s="21" t="s">
        <v>150</v>
      </c>
      <c r="E70">
        <v>1.42</v>
      </c>
      <c r="F70">
        <v>1.43</v>
      </c>
      <c r="G70">
        <v>1.42</v>
      </c>
      <c r="H70">
        <v>1.41</v>
      </c>
      <c r="I70">
        <v>1.42</v>
      </c>
      <c r="J70">
        <v>1.45</v>
      </c>
      <c r="K70">
        <v>1.44</v>
      </c>
      <c r="L70">
        <v>1.43</v>
      </c>
      <c r="M70">
        <v>1.43</v>
      </c>
      <c r="N70">
        <v>1.44</v>
      </c>
      <c r="O70">
        <v>1.43</v>
      </c>
      <c r="P70" s="5">
        <f t="shared" si="31"/>
        <v>8.1649658092772682E-3</v>
      </c>
      <c r="Q70">
        <f t="shared" si="33"/>
        <v>1.42</v>
      </c>
      <c r="R70" s="2">
        <f t="shared" si="34"/>
        <v>1.45</v>
      </c>
      <c r="S70" s="27">
        <f t="shared" si="32"/>
        <v>2.1126760563380302</v>
      </c>
      <c r="T70">
        <v>1.42</v>
      </c>
      <c r="U70">
        <v>1.41</v>
      </c>
      <c r="V70">
        <v>1.41</v>
      </c>
      <c r="W70">
        <v>1.41</v>
      </c>
      <c r="X70">
        <v>1.41</v>
      </c>
      <c r="Y70">
        <v>1.43</v>
      </c>
      <c r="Z70">
        <v>1.44</v>
      </c>
      <c r="AA70">
        <v>1.45</v>
      </c>
      <c r="AB70">
        <v>1.44</v>
      </c>
      <c r="AC70">
        <v>1.44</v>
      </c>
      <c r="AD70">
        <v>1.44</v>
      </c>
      <c r="AE70">
        <v>1.44</v>
      </c>
      <c r="AI70">
        <v>1.42</v>
      </c>
      <c r="AJ70">
        <v>1.43</v>
      </c>
      <c r="AK70">
        <v>1.44</v>
      </c>
      <c r="AL70">
        <v>1.43</v>
      </c>
      <c r="AM70">
        <v>1.44</v>
      </c>
      <c r="AN70">
        <v>1.43</v>
      </c>
      <c r="AO70">
        <v>1.46</v>
      </c>
      <c r="AP70">
        <v>1.44</v>
      </c>
      <c r="AQ70">
        <v>1.44</v>
      </c>
      <c r="AR70">
        <v>1.43</v>
      </c>
      <c r="AS70">
        <v>1.43</v>
      </c>
      <c r="AT70">
        <v>1.42</v>
      </c>
      <c r="AX70">
        <v>1.43</v>
      </c>
      <c r="AY70">
        <v>1.44</v>
      </c>
      <c r="AZ70">
        <v>1.43</v>
      </c>
      <c r="BA70">
        <v>1.43</v>
      </c>
      <c r="BB70">
        <v>1.43</v>
      </c>
      <c r="BC70">
        <v>1.43</v>
      </c>
      <c r="BD70">
        <v>1.46</v>
      </c>
      <c r="BE70">
        <v>1.44</v>
      </c>
      <c r="BF70">
        <v>1.44</v>
      </c>
      <c r="BG70">
        <v>1.44</v>
      </c>
      <c r="BH70">
        <v>1.44</v>
      </c>
      <c r="BI70">
        <v>1.44</v>
      </c>
    </row>
    <row r="71" spans="1:66" x14ac:dyDescent="0.25">
      <c r="A71" s="73"/>
      <c r="B71" s="3"/>
      <c r="C71" s="21"/>
      <c r="P71" s="31" t="s">
        <v>110</v>
      </c>
      <c r="Q71" s="30">
        <f>AVERAGE(Q61:Q70)</f>
        <v>1.4010000000000002</v>
      </c>
      <c r="R71" s="30">
        <f>AVERAGE(R62:R70)</f>
        <v>1.4422222222222223</v>
      </c>
      <c r="S71" s="29">
        <f>AVERAGE(S61:S70)</f>
        <v>2.9422219083965744</v>
      </c>
    </row>
    <row r="72" spans="1:66" x14ac:dyDescent="0.25">
      <c r="A72" s="73"/>
      <c r="B72" s="3"/>
      <c r="P72" s="31" t="s">
        <v>111</v>
      </c>
      <c r="Q72" s="29">
        <f>STDEVA(Q61:Q70)</f>
        <v>2.5144029554194768E-2</v>
      </c>
      <c r="R72" s="29">
        <f>STDEVA(R62:R70)</f>
        <v>1.855921454276676E-2</v>
      </c>
      <c r="S72" s="29">
        <f>STDEVA(S61:S70)</f>
        <v>1.3231974129601589</v>
      </c>
    </row>
    <row r="73" spans="1:66" ht="16.5" thickBot="1" x14ac:dyDescent="0.3">
      <c r="A73" s="73"/>
      <c r="B73" s="3"/>
      <c r="P73" s="31" t="s">
        <v>112</v>
      </c>
      <c r="Q73" s="32">
        <f>Q72/Q71</f>
        <v>1.7947201680367425E-2</v>
      </c>
      <c r="R73" s="32">
        <f>R72/R71</f>
        <v>1.2868484659853685E-2</v>
      </c>
      <c r="S73" s="32">
        <f>S72/S71</f>
        <v>0.44972726536499186</v>
      </c>
    </row>
    <row r="74" spans="1:66" x14ac:dyDescent="0.25">
      <c r="A74" s="4"/>
      <c r="B74" s="3"/>
      <c r="N74" s="9"/>
      <c r="O74" s="8" t="s">
        <v>113</v>
      </c>
      <c r="P74" s="10">
        <v>5</v>
      </c>
      <c r="Q74" s="15" t="s">
        <v>114</v>
      </c>
      <c r="R74" s="16"/>
      <c r="S74" s="16"/>
      <c r="T74" s="16"/>
      <c r="U74" s="17"/>
      <c r="AC74" s="9"/>
      <c r="AD74" s="9"/>
      <c r="AE74" s="8" t="s">
        <v>113</v>
      </c>
      <c r="AF74" s="10">
        <v>5</v>
      </c>
      <c r="AG74" s="15" t="s">
        <v>114</v>
      </c>
      <c r="AH74" s="16"/>
      <c r="AI74" s="11"/>
      <c r="AJ74" s="12"/>
      <c r="AR74" s="9"/>
      <c r="AS74" s="9"/>
      <c r="AT74" s="8" t="s">
        <v>113</v>
      </c>
      <c r="AU74" s="10">
        <v>5</v>
      </c>
      <c r="AV74" s="15" t="s">
        <v>114</v>
      </c>
      <c r="AW74" s="16"/>
      <c r="AX74" s="11"/>
      <c r="AY74" s="12"/>
      <c r="BG74" s="9"/>
      <c r="BH74" s="9"/>
      <c r="BI74" s="8" t="s">
        <v>113</v>
      </c>
      <c r="BJ74" s="10">
        <v>5</v>
      </c>
      <c r="BK74" s="15" t="s">
        <v>114</v>
      </c>
      <c r="BL74" s="16"/>
      <c r="BM74" s="11"/>
      <c r="BN74" s="12"/>
    </row>
    <row r="75" spans="1:66" ht="16.5" thickBot="1" x14ac:dyDescent="0.3">
      <c r="A75" s="4"/>
      <c r="B75" s="3"/>
      <c r="N75" s="9"/>
      <c r="O75" s="8" t="s">
        <v>115</v>
      </c>
      <c r="P75" s="10">
        <v>10</v>
      </c>
      <c r="Q75" s="18" t="s">
        <v>114</v>
      </c>
      <c r="R75" s="54"/>
      <c r="S75" s="13"/>
      <c r="T75" s="13"/>
      <c r="U75" s="14"/>
      <c r="AC75" s="9"/>
      <c r="AD75" s="9"/>
      <c r="AE75" s="8" t="s">
        <v>115</v>
      </c>
      <c r="AF75" s="10">
        <v>10</v>
      </c>
      <c r="AG75" s="18" t="s">
        <v>114</v>
      </c>
      <c r="AH75" s="13"/>
      <c r="AI75" s="13"/>
      <c r="AJ75" s="14"/>
      <c r="AR75" s="9"/>
      <c r="AS75" s="9"/>
      <c r="AT75" s="8" t="s">
        <v>115</v>
      </c>
      <c r="AU75" s="10">
        <v>10</v>
      </c>
      <c r="AV75" s="18" t="s">
        <v>114</v>
      </c>
      <c r="AW75" s="13"/>
      <c r="AX75" s="13"/>
      <c r="AY75" s="14"/>
      <c r="BG75" s="9"/>
      <c r="BH75" s="9"/>
      <c r="BI75" s="8" t="s">
        <v>115</v>
      </c>
      <c r="BJ75" s="10">
        <v>10</v>
      </c>
      <c r="BK75" s="18" t="s">
        <v>114</v>
      </c>
      <c r="BL75" s="13"/>
      <c r="BM75" s="13"/>
      <c r="BN75" s="14"/>
    </row>
    <row r="76" spans="1:66" x14ac:dyDescent="0.25">
      <c r="A76" s="4"/>
      <c r="B76" s="3"/>
      <c r="O76" s="2" t="s">
        <v>116</v>
      </c>
      <c r="P76" s="5">
        <f>SQRT(AVERAGE(P61:P73))</f>
        <v>0.11137297081962592</v>
      </c>
      <c r="AE76" s="2" t="s">
        <v>116</v>
      </c>
      <c r="AF76" s="5" t="e">
        <f>SQRT(AVERAGE(AF61:AF73))</f>
        <v>#DIV/0!</v>
      </c>
      <c r="AT76" s="2" t="s">
        <v>116</v>
      </c>
      <c r="AU76" s="5" t="e">
        <f>SQRT(AVERAGE(AU61:AU73))</f>
        <v>#DIV/0!</v>
      </c>
      <c r="BI76" s="2" t="s">
        <v>116</v>
      </c>
      <c r="BJ76" s="5" t="e">
        <f>SQRT(AVERAGE(BJ61:BJ73))</f>
        <v>#DIV/0!</v>
      </c>
    </row>
    <row r="77" spans="1:66" x14ac:dyDescent="0.25">
      <c r="A77" s="4"/>
      <c r="B77" s="3"/>
      <c r="O77" s="2" t="s">
        <v>117</v>
      </c>
      <c r="P77" s="5">
        <f>2.77*P76</f>
        <v>0.30850312917036382</v>
      </c>
      <c r="AE77" s="2" t="s">
        <v>117</v>
      </c>
      <c r="AF77" s="5" t="e">
        <f>2.77*AF76</f>
        <v>#DIV/0!</v>
      </c>
      <c r="AT77" s="2" t="s">
        <v>117</v>
      </c>
      <c r="AU77" s="5" t="e">
        <f>2.77*AU76</f>
        <v>#DIV/0!</v>
      </c>
      <c r="BI77" s="2" t="s">
        <v>117</v>
      </c>
      <c r="BJ77" s="5" t="e">
        <f>2.77*BJ76</f>
        <v>#DIV/0!</v>
      </c>
    </row>
    <row r="78" spans="1:66" x14ac:dyDescent="0.25">
      <c r="A78" s="4"/>
      <c r="B78" s="3"/>
      <c r="O78" s="2" t="s">
        <v>118</v>
      </c>
      <c r="P78" s="5">
        <f>P77-(1.96*(P76/(SQRT(2*P75*(P74-1)))))</f>
        <v>0.28409745087670302</v>
      </c>
      <c r="AE78" s="2" t="s">
        <v>118</v>
      </c>
      <c r="AF78" s="5" t="e">
        <f>AF77-(1.96*(AF76/(SQRT(2*AF75*(AF74-1)))))</f>
        <v>#DIV/0!</v>
      </c>
      <c r="AT78" s="2" t="s">
        <v>118</v>
      </c>
      <c r="AU78" s="5" t="e">
        <f>AU77-(1.96*(AU76/(SQRT(2*AU75*(AU74-1)))))</f>
        <v>#DIV/0!</v>
      </c>
      <c r="BI78" s="2" t="s">
        <v>118</v>
      </c>
      <c r="BJ78" s="5" t="e">
        <f>BJ77-(1.96*(BJ76/(SQRT(2*BJ75*(BJ74-1)))))</f>
        <v>#DIV/0!</v>
      </c>
    </row>
    <row r="79" spans="1:66" x14ac:dyDescent="0.25">
      <c r="A79" s="4"/>
      <c r="B79" s="3"/>
      <c r="O79" s="2" t="s">
        <v>119</v>
      </c>
      <c r="P79" s="5">
        <f>P77+(1.96*(P76/(SQRT(2*P75*(P74-1)))))</f>
        <v>0.33290880746402463</v>
      </c>
      <c r="AE79" s="2" t="s">
        <v>119</v>
      </c>
      <c r="AF79" s="5" t="e">
        <f>AF77+(1.96*(AF76/(SQRT(2*AF75*(AF74-1)))))</f>
        <v>#DIV/0!</v>
      </c>
      <c r="AT79" s="2" t="s">
        <v>119</v>
      </c>
      <c r="AU79" s="5" t="e">
        <f>AU77+(1.96*(AU76/(SQRT(2*AU75*(AU74-1)))))</f>
        <v>#DIV/0!</v>
      </c>
      <c r="BI79" s="2" t="s">
        <v>119</v>
      </c>
      <c r="BJ79" s="5" t="e">
        <f>BJ77+(1.96*(BJ76/(SQRT(2*BJ75*(BJ74-1)))))</f>
        <v>#DIV/0!</v>
      </c>
    </row>
    <row r="80" spans="1:66" s="58" customFormat="1" x14ac:dyDescent="0.25">
      <c r="A80" s="56"/>
      <c r="B80" s="57"/>
      <c r="O80" s="59"/>
      <c r="P80" s="60"/>
      <c r="AE80" s="59"/>
      <c r="AF80" s="60"/>
      <c r="AT80" s="59"/>
      <c r="AU80" s="60"/>
      <c r="BI80" s="59"/>
      <c r="BJ80" s="60"/>
    </row>
    <row r="81" spans="1:66" x14ac:dyDescent="0.25">
      <c r="A81" s="68" t="s">
        <v>151</v>
      </c>
      <c r="B81" s="3" t="s">
        <v>100</v>
      </c>
      <c r="C81" s="21" t="s">
        <v>152</v>
      </c>
      <c r="D81">
        <v>1.37</v>
      </c>
      <c r="E81">
        <v>1.39</v>
      </c>
      <c r="F81">
        <v>1.41</v>
      </c>
      <c r="G81">
        <v>1.41</v>
      </c>
      <c r="H81">
        <v>1.41</v>
      </c>
      <c r="I81">
        <v>1.33</v>
      </c>
      <c r="J81">
        <v>1.41</v>
      </c>
      <c r="K81">
        <v>1.41</v>
      </c>
      <c r="L81">
        <v>1.4</v>
      </c>
      <c r="M81">
        <v>1.39</v>
      </c>
      <c r="P81" s="5">
        <f t="shared" ref="P81:P84" si="35">IFERROR(STDEVA(D81:H81),#N/A)</f>
        <v>1.7888543819998243E-2</v>
      </c>
      <c r="Q81">
        <f>MEDIAN(D81:H81)</f>
        <v>1.41</v>
      </c>
      <c r="R81" s="2">
        <f>MAX(J81:O81)</f>
        <v>1.41</v>
      </c>
      <c r="S81" s="27">
        <f t="shared" ref="S81:S84" si="36">100*(R81-Q81)/Q81</f>
        <v>0</v>
      </c>
    </row>
    <row r="82" spans="1:66" x14ac:dyDescent="0.25">
      <c r="A82" s="68"/>
      <c r="B82" s="3" t="s">
        <v>100</v>
      </c>
      <c r="C82" s="21" t="s">
        <v>153</v>
      </c>
      <c r="D82">
        <v>1.4</v>
      </c>
      <c r="E82">
        <v>1.38</v>
      </c>
      <c r="F82">
        <v>1.4</v>
      </c>
      <c r="G82">
        <v>1.4</v>
      </c>
      <c r="H82">
        <v>1.4</v>
      </c>
      <c r="I82">
        <v>1.41</v>
      </c>
      <c r="J82">
        <v>1.41</v>
      </c>
      <c r="K82">
        <v>1.41</v>
      </c>
      <c r="L82">
        <v>1.42</v>
      </c>
      <c r="M82">
        <v>1.42</v>
      </c>
      <c r="N82">
        <v>1.42</v>
      </c>
      <c r="O82">
        <v>1.42</v>
      </c>
      <c r="P82" s="5">
        <f t="shared" si="35"/>
        <v>8.9442719099991682E-3</v>
      </c>
      <c r="Q82">
        <f t="shared" ref="Q82:Q85" si="37">MEDIAN(D82:H82)</f>
        <v>1.4</v>
      </c>
      <c r="R82" s="2">
        <f t="shared" ref="R82:R85" si="38">MAX(J82:O82)</f>
        <v>1.42</v>
      </c>
      <c r="S82" s="27">
        <f t="shared" si="36"/>
        <v>1.4285714285714299</v>
      </c>
    </row>
    <row r="83" spans="1:66" x14ac:dyDescent="0.25">
      <c r="A83" s="68"/>
      <c r="B83" s="3" t="s">
        <v>100</v>
      </c>
      <c r="C83" s="21" t="s">
        <v>154</v>
      </c>
      <c r="D83">
        <v>1.4</v>
      </c>
      <c r="E83">
        <v>1.39</v>
      </c>
      <c r="F83">
        <v>1.39</v>
      </c>
      <c r="G83">
        <v>1.39</v>
      </c>
      <c r="H83">
        <v>1.38</v>
      </c>
      <c r="I83">
        <v>1.41</v>
      </c>
      <c r="J83">
        <v>1.45</v>
      </c>
      <c r="K83">
        <v>1.43</v>
      </c>
      <c r="L83">
        <v>1.41</v>
      </c>
      <c r="M83">
        <v>1.42</v>
      </c>
      <c r="N83">
        <v>1.42</v>
      </c>
      <c r="O83">
        <v>1.42</v>
      </c>
      <c r="P83" s="5">
        <f t="shared" si="35"/>
        <v>7.0710678118654814E-3</v>
      </c>
      <c r="Q83">
        <f t="shared" si="37"/>
        <v>1.39</v>
      </c>
      <c r="R83" s="2">
        <f t="shared" si="38"/>
        <v>1.45</v>
      </c>
      <c r="S83" s="27">
        <f t="shared" si="36"/>
        <v>4.3165467625899323</v>
      </c>
      <c r="T83">
        <v>1.39</v>
      </c>
      <c r="U83">
        <v>1.39</v>
      </c>
      <c r="V83">
        <v>1.4</v>
      </c>
      <c r="W83">
        <v>1.39</v>
      </c>
      <c r="X83">
        <v>1.4</v>
      </c>
      <c r="Y83">
        <v>1.39</v>
      </c>
      <c r="Z83">
        <v>1.39</v>
      </c>
      <c r="AA83">
        <v>1.44</v>
      </c>
      <c r="AB83">
        <v>1.4</v>
      </c>
      <c r="AC83">
        <v>1.41</v>
      </c>
      <c r="AD83">
        <v>1.39</v>
      </c>
      <c r="AE83">
        <v>1.4</v>
      </c>
      <c r="AI83">
        <v>1.41</v>
      </c>
      <c r="AJ83">
        <v>1.41</v>
      </c>
      <c r="AK83">
        <v>1.41</v>
      </c>
      <c r="AL83">
        <v>1.41</v>
      </c>
      <c r="AM83">
        <v>1.41</v>
      </c>
      <c r="AN83">
        <v>1.4</v>
      </c>
      <c r="AO83">
        <v>1.45</v>
      </c>
      <c r="AP83">
        <v>1.44</v>
      </c>
      <c r="AQ83">
        <v>1.43</v>
      </c>
      <c r="AR83">
        <v>1.42</v>
      </c>
      <c r="AS83">
        <v>1.42</v>
      </c>
      <c r="AT83">
        <v>1.42</v>
      </c>
      <c r="AX83">
        <v>1.41</v>
      </c>
      <c r="AY83">
        <v>1.4</v>
      </c>
      <c r="AZ83">
        <v>1.42</v>
      </c>
      <c r="BA83">
        <v>1.4</v>
      </c>
      <c r="BB83">
        <v>1.4</v>
      </c>
      <c r="BC83">
        <v>1.41</v>
      </c>
      <c r="BD83">
        <v>1.43</v>
      </c>
      <c r="BE83">
        <v>1.45</v>
      </c>
      <c r="BF83">
        <v>1.43</v>
      </c>
      <c r="BG83">
        <v>1.43</v>
      </c>
      <c r="BH83">
        <v>1.43</v>
      </c>
      <c r="BI83">
        <v>1.44</v>
      </c>
    </row>
    <row r="84" spans="1:66" x14ac:dyDescent="0.25">
      <c r="A84" s="68"/>
      <c r="B84" s="3" t="s">
        <v>100</v>
      </c>
      <c r="C84" s="21" t="s">
        <v>155</v>
      </c>
      <c r="D84">
        <v>1.37</v>
      </c>
      <c r="E84">
        <v>1.41</v>
      </c>
      <c r="F84">
        <v>1.41</v>
      </c>
      <c r="G84">
        <v>1.4</v>
      </c>
      <c r="H84">
        <v>1.41</v>
      </c>
      <c r="I84">
        <v>1.41</v>
      </c>
      <c r="J84">
        <v>1.45</v>
      </c>
      <c r="K84">
        <v>1.44</v>
      </c>
      <c r="L84">
        <v>1.44</v>
      </c>
      <c r="M84">
        <v>1.43</v>
      </c>
      <c r="N84">
        <v>1.43</v>
      </c>
      <c r="O84">
        <v>1.43</v>
      </c>
      <c r="P84" s="5">
        <f t="shared" si="35"/>
        <v>1.7320508075688693E-2</v>
      </c>
      <c r="Q84">
        <f t="shared" si="37"/>
        <v>1.41</v>
      </c>
      <c r="R84" s="2">
        <f t="shared" si="38"/>
        <v>1.45</v>
      </c>
      <c r="S84" s="27">
        <f t="shared" si="36"/>
        <v>2.8368794326241162</v>
      </c>
    </row>
    <row r="85" spans="1:66" x14ac:dyDescent="0.25">
      <c r="A85" s="68"/>
      <c r="B85" s="3" t="s">
        <v>100</v>
      </c>
      <c r="C85" s="21" t="s">
        <v>156</v>
      </c>
      <c r="D85">
        <v>1.38</v>
      </c>
      <c r="E85">
        <v>1.4</v>
      </c>
      <c r="F85">
        <v>1.41</v>
      </c>
      <c r="G85">
        <v>1.41</v>
      </c>
      <c r="H85">
        <v>1.41</v>
      </c>
      <c r="I85">
        <v>1.38</v>
      </c>
      <c r="J85">
        <v>1.46</v>
      </c>
      <c r="K85">
        <v>1.44</v>
      </c>
      <c r="L85">
        <v>1.43</v>
      </c>
      <c r="M85">
        <v>1.43</v>
      </c>
      <c r="N85">
        <v>1.43</v>
      </c>
      <c r="O85">
        <v>1.43</v>
      </c>
      <c r="P85" s="5">
        <f t="shared" ref="P85:P93" si="39">IFERROR(STDEVA(D85:H85),#N/A)</f>
        <v>1.3038404810405309E-2</v>
      </c>
      <c r="Q85">
        <f t="shared" si="37"/>
        <v>1.41</v>
      </c>
      <c r="R85" s="2">
        <f t="shared" si="38"/>
        <v>1.46</v>
      </c>
      <c r="S85" s="27">
        <f t="shared" ref="S85:S93" si="40">100*(R85-Q85)/Q85</f>
        <v>3.5460992907801452</v>
      </c>
    </row>
    <row r="86" spans="1:66" x14ac:dyDescent="0.25">
      <c r="A86" s="68"/>
      <c r="B86" s="3" t="s">
        <v>100</v>
      </c>
      <c r="C86" s="21" t="s">
        <v>157</v>
      </c>
      <c r="D86">
        <v>1.39</v>
      </c>
      <c r="E86">
        <v>1.4</v>
      </c>
      <c r="F86">
        <v>1.4</v>
      </c>
      <c r="G86">
        <v>1.39</v>
      </c>
      <c r="H86">
        <v>1.4</v>
      </c>
      <c r="I86">
        <v>1.38</v>
      </c>
      <c r="J86">
        <v>1.42</v>
      </c>
      <c r="K86">
        <v>1.44</v>
      </c>
      <c r="L86">
        <v>1.4</v>
      </c>
      <c r="M86">
        <v>1.4</v>
      </c>
      <c r="N86">
        <v>1.39</v>
      </c>
      <c r="O86">
        <v>1.42</v>
      </c>
      <c r="P86" s="5">
        <f t="shared" si="39"/>
        <v>5.4772255750516656E-3</v>
      </c>
      <c r="Q86">
        <f t="shared" ref="Q86:Q93" si="41">MEDIAN(D86:H86)</f>
        <v>1.4</v>
      </c>
      <c r="R86" s="2">
        <f t="shared" ref="R86:R93" si="42">MAX(J86:O86)</f>
        <v>1.44</v>
      </c>
      <c r="S86" s="27">
        <f t="shared" si="40"/>
        <v>2.8571428571428599</v>
      </c>
    </row>
    <row r="87" spans="1:66" x14ac:dyDescent="0.25">
      <c r="A87" s="68"/>
      <c r="B87" s="3" t="s">
        <v>100</v>
      </c>
      <c r="C87" s="21" t="s">
        <v>158</v>
      </c>
      <c r="D87">
        <v>1.34</v>
      </c>
      <c r="E87">
        <v>1.41</v>
      </c>
      <c r="F87">
        <v>1.41</v>
      </c>
      <c r="G87">
        <v>1.41</v>
      </c>
      <c r="H87">
        <v>1.4</v>
      </c>
      <c r="I87">
        <v>1.4</v>
      </c>
      <c r="J87">
        <v>1.41</v>
      </c>
      <c r="K87">
        <v>1.44</v>
      </c>
      <c r="L87">
        <v>1.45</v>
      </c>
      <c r="M87">
        <v>1.43</v>
      </c>
      <c r="N87">
        <v>1.41</v>
      </c>
      <c r="O87">
        <v>1.41</v>
      </c>
      <c r="P87" s="5">
        <f t="shared" si="39"/>
        <v>3.0495901363953741E-2</v>
      </c>
      <c r="Q87">
        <f t="shared" si="41"/>
        <v>1.41</v>
      </c>
      <c r="R87" s="2">
        <f t="shared" si="42"/>
        <v>1.45</v>
      </c>
      <c r="S87" s="27">
        <f t="shared" si="40"/>
        <v>2.8368794326241162</v>
      </c>
    </row>
    <row r="88" spans="1:66" x14ac:dyDescent="0.25">
      <c r="A88" s="68"/>
      <c r="B88" s="3" t="s">
        <v>100</v>
      </c>
      <c r="C88" s="21" t="s">
        <v>159</v>
      </c>
      <c r="D88">
        <v>1.41</v>
      </c>
      <c r="E88">
        <v>1.42</v>
      </c>
      <c r="F88">
        <v>1.42</v>
      </c>
      <c r="G88">
        <v>1.42</v>
      </c>
      <c r="H88">
        <v>1.42</v>
      </c>
      <c r="I88">
        <v>1.42</v>
      </c>
      <c r="J88">
        <v>1.45</v>
      </c>
      <c r="K88">
        <v>1.45</v>
      </c>
      <c r="L88">
        <v>1.44</v>
      </c>
      <c r="M88">
        <v>1.43</v>
      </c>
      <c r="N88">
        <v>1.43</v>
      </c>
      <c r="O88">
        <v>1.42</v>
      </c>
      <c r="P88" s="5">
        <f t="shared" si="39"/>
        <v>4.4721359549995832E-3</v>
      </c>
      <c r="Q88">
        <f t="shared" si="41"/>
        <v>1.42</v>
      </c>
      <c r="R88" s="2">
        <f t="shared" si="42"/>
        <v>1.45</v>
      </c>
      <c r="S88" s="27">
        <f t="shared" si="40"/>
        <v>2.1126760563380302</v>
      </c>
    </row>
    <row r="89" spans="1:66" x14ac:dyDescent="0.25">
      <c r="A89" s="68"/>
      <c r="B89" s="3" t="s">
        <v>100</v>
      </c>
      <c r="C89" s="21" t="s">
        <v>160</v>
      </c>
      <c r="D89">
        <v>1.37</v>
      </c>
      <c r="E89">
        <v>1.37</v>
      </c>
      <c r="F89">
        <v>1.37</v>
      </c>
      <c r="G89">
        <v>1.37</v>
      </c>
      <c r="H89">
        <v>1.36</v>
      </c>
      <c r="I89">
        <v>1.42</v>
      </c>
      <c r="J89">
        <v>1.43</v>
      </c>
      <c r="K89">
        <v>1.44</v>
      </c>
      <c r="L89">
        <v>1.43</v>
      </c>
      <c r="M89">
        <v>1.44</v>
      </c>
      <c r="N89">
        <v>1.43</v>
      </c>
      <c r="O89">
        <v>1.44</v>
      </c>
      <c r="P89" s="5">
        <f t="shared" si="39"/>
        <v>4.4721359549995841E-3</v>
      </c>
      <c r="Q89">
        <f t="shared" si="41"/>
        <v>1.37</v>
      </c>
      <c r="R89" s="2">
        <f t="shared" si="42"/>
        <v>1.44</v>
      </c>
      <c r="S89" s="27">
        <f t="shared" si="40"/>
        <v>5.1094890510948785</v>
      </c>
    </row>
    <row r="90" spans="1:66" x14ac:dyDescent="0.25">
      <c r="A90" s="68"/>
      <c r="B90" s="3" t="s">
        <v>100</v>
      </c>
      <c r="C90" s="21" t="s">
        <v>161</v>
      </c>
      <c r="D90">
        <v>1.46</v>
      </c>
      <c r="E90">
        <v>1.47</v>
      </c>
      <c r="F90">
        <v>1.46</v>
      </c>
      <c r="G90">
        <v>1.46</v>
      </c>
      <c r="H90">
        <v>1.46</v>
      </c>
      <c r="I90">
        <v>1.43</v>
      </c>
      <c r="J90">
        <v>1.43</v>
      </c>
      <c r="K90">
        <v>1.46</v>
      </c>
      <c r="L90">
        <v>1.46</v>
      </c>
      <c r="M90">
        <v>1.45</v>
      </c>
      <c r="N90">
        <v>1.45</v>
      </c>
      <c r="O90">
        <v>1.44</v>
      </c>
      <c r="P90" s="5">
        <f t="shared" si="39"/>
        <v>4.4721359549995832E-3</v>
      </c>
      <c r="Q90">
        <f t="shared" si="41"/>
        <v>1.46</v>
      </c>
      <c r="R90" s="2">
        <f t="shared" si="42"/>
        <v>1.46</v>
      </c>
      <c r="S90" s="27">
        <f t="shared" si="40"/>
        <v>0</v>
      </c>
    </row>
    <row r="91" spans="1:66" x14ac:dyDescent="0.25">
      <c r="A91" s="68"/>
      <c r="B91" s="3" t="s">
        <v>100</v>
      </c>
      <c r="C91" s="21" t="s">
        <v>162</v>
      </c>
      <c r="D91">
        <v>1.4</v>
      </c>
      <c r="E91">
        <v>1.39</v>
      </c>
      <c r="F91">
        <v>1.37</v>
      </c>
      <c r="G91">
        <v>1.39</v>
      </c>
      <c r="H91">
        <v>1.39</v>
      </c>
      <c r="I91">
        <v>1.45</v>
      </c>
      <c r="J91">
        <v>1.48</v>
      </c>
      <c r="K91">
        <v>1.46</v>
      </c>
      <c r="L91">
        <v>1.46</v>
      </c>
      <c r="M91">
        <v>1.46</v>
      </c>
      <c r="N91">
        <v>1.47</v>
      </c>
      <c r="O91">
        <v>1.46</v>
      </c>
      <c r="P91" s="5">
        <f t="shared" si="39"/>
        <v>1.0954451150103239E-2</v>
      </c>
      <c r="Q91">
        <f t="shared" si="41"/>
        <v>1.39</v>
      </c>
      <c r="R91" s="2">
        <f t="shared" si="42"/>
        <v>1.48</v>
      </c>
      <c r="S91" s="27">
        <f t="shared" si="40"/>
        <v>6.474820143884898</v>
      </c>
    </row>
    <row r="92" spans="1:66" ht="16.5" thickBot="1" x14ac:dyDescent="0.3">
      <c r="A92" s="68"/>
      <c r="B92" s="3" t="s">
        <v>100</v>
      </c>
      <c r="C92" s="21" t="s">
        <v>163</v>
      </c>
      <c r="D92">
        <v>1.41</v>
      </c>
      <c r="E92">
        <v>1.41</v>
      </c>
      <c r="F92">
        <v>1.43</v>
      </c>
      <c r="G92">
        <v>1.42</v>
      </c>
      <c r="H92">
        <v>1.4</v>
      </c>
      <c r="I92">
        <v>1.4</v>
      </c>
      <c r="J92">
        <v>1.4</v>
      </c>
      <c r="K92">
        <v>1.46</v>
      </c>
      <c r="L92">
        <v>1.45</v>
      </c>
      <c r="M92">
        <v>1.44</v>
      </c>
      <c r="N92">
        <v>1.43</v>
      </c>
      <c r="O92">
        <v>1.44</v>
      </c>
      <c r="P92" s="5">
        <f t="shared" si="39"/>
        <v>1.1401754250991389E-2</v>
      </c>
      <c r="Q92">
        <f t="shared" si="41"/>
        <v>1.41</v>
      </c>
      <c r="R92" s="2">
        <f t="shared" si="42"/>
        <v>1.46</v>
      </c>
      <c r="S92" s="27">
        <f t="shared" si="40"/>
        <v>3.5460992907801452</v>
      </c>
      <c r="T92">
        <v>1.42</v>
      </c>
      <c r="U92">
        <v>1.41</v>
      </c>
      <c r="V92">
        <v>1.39</v>
      </c>
      <c r="W92">
        <v>1.44</v>
      </c>
      <c r="X92">
        <v>1.43</v>
      </c>
      <c r="Y92">
        <v>1.42</v>
      </c>
      <c r="Z92">
        <v>1.42</v>
      </c>
      <c r="AA92">
        <v>1.44</v>
      </c>
      <c r="AB92">
        <v>1.45</v>
      </c>
      <c r="AC92">
        <v>1.45</v>
      </c>
      <c r="AD92">
        <v>1.45</v>
      </c>
      <c r="AE92">
        <v>1.44</v>
      </c>
      <c r="AI92">
        <v>1.42</v>
      </c>
      <c r="AJ92">
        <v>1.43</v>
      </c>
      <c r="AK92">
        <v>1.44</v>
      </c>
      <c r="AL92">
        <v>1.44</v>
      </c>
      <c r="AM92">
        <v>1.44</v>
      </c>
      <c r="AN92">
        <v>1.4</v>
      </c>
      <c r="AO92">
        <v>1.46</v>
      </c>
      <c r="AP92">
        <v>1.44</v>
      </c>
      <c r="AQ92">
        <v>1.43</v>
      </c>
      <c r="AR92">
        <v>1.44</v>
      </c>
      <c r="AS92">
        <v>1.43</v>
      </c>
      <c r="AT92">
        <v>1.44</v>
      </c>
      <c r="AX92">
        <v>1.41</v>
      </c>
      <c r="AY92">
        <v>1.43</v>
      </c>
      <c r="AZ92">
        <v>1.44</v>
      </c>
      <c r="BA92">
        <v>1.42</v>
      </c>
      <c r="BB92">
        <v>1.43</v>
      </c>
      <c r="BC92">
        <v>1.42</v>
      </c>
      <c r="BD92">
        <v>1.45</v>
      </c>
      <c r="BE92">
        <v>1.44</v>
      </c>
      <c r="BF92">
        <v>1.43</v>
      </c>
      <c r="BG92">
        <v>1.43</v>
      </c>
      <c r="BH92">
        <v>1.43</v>
      </c>
      <c r="BI92">
        <v>1.43</v>
      </c>
    </row>
    <row r="93" spans="1:66" x14ac:dyDescent="0.25">
      <c r="A93" s="4"/>
      <c r="B93" s="3" t="s">
        <v>100</v>
      </c>
      <c r="C93" s="21" t="s">
        <v>164</v>
      </c>
      <c r="D93">
        <v>1.37</v>
      </c>
      <c r="E93">
        <v>1.39</v>
      </c>
      <c r="F93">
        <v>1.41</v>
      </c>
      <c r="G93">
        <v>1.41</v>
      </c>
      <c r="H93">
        <v>1.4</v>
      </c>
      <c r="I93">
        <v>1.39</v>
      </c>
      <c r="J93">
        <v>1.45</v>
      </c>
      <c r="K93">
        <v>1.45</v>
      </c>
      <c r="L93">
        <v>1.45</v>
      </c>
      <c r="M93">
        <v>1.44</v>
      </c>
      <c r="N93">
        <v>1.43</v>
      </c>
      <c r="O93">
        <v>1.42</v>
      </c>
      <c r="P93" s="5">
        <f t="shared" si="39"/>
        <v>1.673320053068144E-2</v>
      </c>
      <c r="Q93">
        <f t="shared" si="41"/>
        <v>1.4</v>
      </c>
      <c r="R93" s="2">
        <f t="shared" si="42"/>
        <v>1.45</v>
      </c>
      <c r="S93" s="27">
        <f t="shared" si="40"/>
        <v>3.5714285714285747</v>
      </c>
      <c r="T93">
        <v>1.38</v>
      </c>
      <c r="U93">
        <v>1.4</v>
      </c>
      <c r="V93">
        <v>1.41</v>
      </c>
      <c r="W93">
        <v>1.41</v>
      </c>
      <c r="X93">
        <v>1.41</v>
      </c>
      <c r="Y93">
        <v>1.36</v>
      </c>
      <c r="Z93">
        <v>1.46</v>
      </c>
      <c r="AA93">
        <v>1.4</v>
      </c>
      <c r="AB93">
        <v>1.4</v>
      </c>
      <c r="AC93">
        <v>1.39</v>
      </c>
      <c r="AD93">
        <v>1.38</v>
      </c>
      <c r="AE93">
        <v>1.4</v>
      </c>
      <c r="AS93" s="9"/>
      <c r="AT93" s="8" t="s">
        <v>113</v>
      </c>
      <c r="AU93" s="10">
        <v>5</v>
      </c>
      <c r="AV93" s="15" t="s">
        <v>114</v>
      </c>
      <c r="AW93" s="16"/>
      <c r="AX93" s="11"/>
      <c r="AY93" s="12"/>
      <c r="BG93" s="9"/>
      <c r="BH93" s="9"/>
      <c r="BI93" s="8" t="s">
        <v>113</v>
      </c>
      <c r="BJ93" s="10">
        <v>5</v>
      </c>
      <c r="BK93" s="15" t="s">
        <v>114</v>
      </c>
      <c r="BL93" s="16"/>
      <c r="BM93" s="11"/>
      <c r="BN93" s="12"/>
    </row>
    <row r="94" spans="1:66" x14ac:dyDescent="0.25">
      <c r="A94" s="4"/>
      <c r="B94" s="3"/>
      <c r="C94" s="21"/>
      <c r="P94" s="31" t="s">
        <v>110</v>
      </c>
      <c r="Q94" s="30">
        <f>AVERAGE(Q84:Q93)</f>
        <v>1.4079999999999999</v>
      </c>
      <c r="R94" s="30">
        <f>AVERAGE(R85:R93)</f>
        <v>1.4544444444444444</v>
      </c>
      <c r="S94" s="29">
        <f>AVERAGE(S81:S93)</f>
        <v>2.9720486398353176</v>
      </c>
      <c r="AS94" s="9"/>
      <c r="AT94" s="8"/>
      <c r="AU94" s="10"/>
      <c r="AV94" s="44"/>
      <c r="AW94" s="45"/>
      <c r="AY94" s="46"/>
      <c r="BG94" s="9"/>
      <c r="BH94" s="9"/>
      <c r="BI94" s="8"/>
      <c r="BJ94" s="10"/>
      <c r="BK94" s="44"/>
      <c r="BL94" s="45"/>
      <c r="BN94" s="46"/>
    </row>
    <row r="95" spans="1:66" x14ac:dyDescent="0.25">
      <c r="A95" s="4"/>
      <c r="B95" s="3"/>
      <c r="C95" s="21"/>
      <c r="P95" s="31" t="s">
        <v>111</v>
      </c>
      <c r="Q95" s="29">
        <f>STDEVA(Q84:Q93)</f>
        <v>2.2997584414213765E-2</v>
      </c>
      <c r="R95" s="29">
        <f>STDEVA(R85:R93)</f>
        <v>1.2360330811826118E-2</v>
      </c>
      <c r="S95" s="29">
        <f>STDEVA(S81:S93)</f>
        <v>1.8371353077449821</v>
      </c>
      <c r="AS95" s="9"/>
      <c r="AT95" s="8"/>
      <c r="AU95" s="10"/>
      <c r="AV95" s="44"/>
      <c r="AW95" s="45"/>
      <c r="AY95" s="46"/>
      <c r="BG95" s="9"/>
      <c r="BH95" s="9"/>
      <c r="BI95" s="8"/>
      <c r="BJ95" s="10"/>
      <c r="BK95" s="44"/>
      <c r="BL95" s="45"/>
      <c r="BN95" s="46"/>
    </row>
    <row r="96" spans="1:66" ht="16.5" thickBot="1" x14ac:dyDescent="0.3">
      <c r="A96" s="4"/>
      <c r="B96" s="3"/>
      <c r="C96" s="21"/>
      <c r="P96" s="31" t="s">
        <v>112</v>
      </c>
      <c r="Q96" s="32">
        <f>Q95/Q94</f>
        <v>1.6333511657822278E-2</v>
      </c>
      <c r="R96" s="32">
        <f>R95/R94</f>
        <v>8.4983175940744893E-3</v>
      </c>
      <c r="S96" s="32">
        <f>S95/S94</f>
        <v>0.61813769906766347</v>
      </c>
      <c r="AS96" s="9"/>
      <c r="AT96" s="8"/>
      <c r="AU96" s="10"/>
      <c r="AV96" s="44"/>
      <c r="AW96" s="45"/>
      <c r="AY96" s="46"/>
      <c r="BG96" s="9"/>
      <c r="BH96" s="9"/>
      <c r="BI96" s="8"/>
      <c r="BJ96" s="10"/>
      <c r="BK96" s="44"/>
      <c r="BL96" s="45"/>
      <c r="BN96" s="46"/>
    </row>
    <row r="97" spans="1:66" ht="16.5" thickBot="1" x14ac:dyDescent="0.3">
      <c r="A97" s="4"/>
      <c r="B97" s="3"/>
      <c r="P97" s="9"/>
      <c r="Q97" s="8" t="s">
        <v>113</v>
      </c>
      <c r="R97" s="8"/>
      <c r="S97" s="10">
        <v>5</v>
      </c>
      <c r="T97" s="15" t="s">
        <v>114</v>
      </c>
      <c r="U97" s="16"/>
      <c r="V97" s="16"/>
      <c r="W97" s="17"/>
      <c r="AC97" s="9"/>
      <c r="AD97" s="9"/>
      <c r="AE97" s="8" t="s">
        <v>113</v>
      </c>
      <c r="AF97" s="10">
        <v>5</v>
      </c>
      <c r="AG97" s="15" t="s">
        <v>114</v>
      </c>
      <c r="AH97" s="16"/>
      <c r="AI97" s="11"/>
      <c r="AJ97" s="12"/>
      <c r="AS97" s="9"/>
      <c r="AT97" s="8" t="s">
        <v>115</v>
      </c>
      <c r="AU97" s="10">
        <v>10</v>
      </c>
      <c r="AV97" s="18" t="s">
        <v>114</v>
      </c>
      <c r="AW97" s="13"/>
      <c r="AX97" s="13"/>
      <c r="AY97" s="14"/>
      <c r="BG97" s="9"/>
      <c r="BH97" s="9"/>
      <c r="BI97" s="8" t="s">
        <v>115</v>
      </c>
      <c r="BJ97" s="10">
        <v>10</v>
      </c>
      <c r="BK97" s="18" t="s">
        <v>114</v>
      </c>
      <c r="BL97" s="13"/>
      <c r="BM97" s="13"/>
      <c r="BN97" s="14"/>
    </row>
    <row r="98" spans="1:66" ht="16.5" thickBot="1" x14ac:dyDescent="0.3">
      <c r="A98" s="4"/>
      <c r="B98" s="3"/>
      <c r="P98" s="9"/>
      <c r="Q98" s="8" t="s">
        <v>115</v>
      </c>
      <c r="R98" s="8"/>
      <c r="S98" s="10">
        <v>13</v>
      </c>
      <c r="T98" s="18" t="s">
        <v>114</v>
      </c>
      <c r="U98" s="13"/>
      <c r="V98" s="13"/>
      <c r="W98" s="14"/>
      <c r="AC98" s="9"/>
      <c r="AD98" s="9"/>
      <c r="AE98" s="8" t="s">
        <v>115</v>
      </c>
      <c r="AF98" s="10">
        <v>10</v>
      </c>
      <c r="AG98" s="18" t="s">
        <v>114</v>
      </c>
      <c r="AH98" s="13"/>
      <c r="AI98" s="13"/>
      <c r="AJ98" s="14"/>
      <c r="AT98" s="2" t="s">
        <v>116</v>
      </c>
      <c r="AU98" s="5" t="e">
        <f>SQRT(AVERAGE(AU81:AU92))</f>
        <v>#DIV/0!</v>
      </c>
      <c r="BI98" s="2" t="s">
        <v>116</v>
      </c>
      <c r="BJ98" s="5" t="e">
        <f>SQRT(AVERAGE(BJ81:BJ92))</f>
        <v>#DIV/0!</v>
      </c>
    </row>
    <row r="99" spans="1:66" x14ac:dyDescent="0.25">
      <c r="A99" s="4"/>
      <c r="B99" s="3"/>
      <c r="Q99" s="2" t="s">
        <v>116</v>
      </c>
      <c r="R99" s="2"/>
      <c r="S99" s="5">
        <f>SQRT(AVERAGE(P81:P92))</f>
        <v>0.10646147058641124</v>
      </c>
      <c r="AE99" s="2" t="s">
        <v>116</v>
      </c>
      <c r="AF99" s="5" t="e">
        <f>SQRT(AVERAGE(AF81:AF92))</f>
        <v>#DIV/0!</v>
      </c>
      <c r="AT99" s="2" t="s">
        <v>117</v>
      </c>
      <c r="AU99" s="5" t="e">
        <f>2.77*AU98</f>
        <v>#DIV/0!</v>
      </c>
      <c r="BI99" s="2" t="s">
        <v>117</v>
      </c>
      <c r="BJ99" s="5" t="e">
        <f>2.77*BJ98</f>
        <v>#DIV/0!</v>
      </c>
    </row>
    <row r="100" spans="1:66" x14ac:dyDescent="0.25">
      <c r="A100" s="4"/>
      <c r="B100" s="3"/>
      <c r="Q100" s="2" t="s">
        <v>117</v>
      </c>
      <c r="R100" s="2"/>
      <c r="S100" s="5">
        <f>2.77*S99</f>
        <v>0.29489827352435916</v>
      </c>
      <c r="AE100" s="2" t="s">
        <v>117</v>
      </c>
      <c r="AF100" s="5" t="e">
        <f>2.77*AF99</f>
        <v>#DIV/0!</v>
      </c>
      <c r="AT100" s="2" t="s">
        <v>118</v>
      </c>
      <c r="AU100" s="5" t="e">
        <f>AU99-(1.96*(AU98/(SQRT(2*AU97*(AU93-1)))))</f>
        <v>#DIV/0!</v>
      </c>
      <c r="BI100" s="2" t="s">
        <v>118</v>
      </c>
      <c r="BJ100" s="5" t="e">
        <f>BJ99-(1.96*(BJ98/(SQRT(2*BJ97*(BJ93-1)))))</f>
        <v>#DIV/0!</v>
      </c>
    </row>
    <row r="101" spans="1:66" x14ac:dyDescent="0.25">
      <c r="A101" s="4"/>
      <c r="B101" s="3"/>
      <c r="Q101" s="2" t="s">
        <v>118</v>
      </c>
      <c r="R101" s="2"/>
      <c r="S101" s="5">
        <f>S100-(1.96*(S99/(SQRT(2*S98*(S97-1)))))</f>
        <v>0.27443703761487542</v>
      </c>
      <c r="AE101" s="2" t="s">
        <v>118</v>
      </c>
      <c r="AF101" s="5" t="e">
        <f>AF100-(1.96*(AF99/(SQRT(2*AF98*(AF97-1)))))</f>
        <v>#DIV/0!</v>
      </c>
      <c r="AT101" s="2" t="s">
        <v>119</v>
      </c>
      <c r="AU101" s="5" t="e">
        <f>AU99+(1.96*(AU98/(SQRT(2*AU97*(AU93-1)))))</f>
        <v>#DIV/0!</v>
      </c>
      <c r="BI101" s="2" t="s">
        <v>119</v>
      </c>
      <c r="BJ101" s="5" t="e">
        <f>BJ99+(1.96*(BJ98/(SQRT(2*BJ97*(BJ93-1)))))</f>
        <v>#DIV/0!</v>
      </c>
    </row>
    <row r="102" spans="1:66" x14ac:dyDescent="0.25">
      <c r="A102" s="4"/>
      <c r="B102" s="3"/>
      <c r="Q102" s="2"/>
      <c r="R102" s="2" t="s">
        <v>119</v>
      </c>
      <c r="S102" s="5">
        <f>S100+(1.96*(S99/(SQRT(2*S98*(S97-1)))))</f>
        <v>0.31535950943384289</v>
      </c>
      <c r="AE102" s="2"/>
      <c r="AF102" s="5"/>
      <c r="AT102" s="2"/>
      <c r="AU102" s="5"/>
      <c r="BI102" s="2"/>
      <c r="BJ102" s="5"/>
    </row>
    <row r="103" spans="1:66" s="58" customFormat="1" x14ac:dyDescent="0.25">
      <c r="A103" s="56"/>
      <c r="B103" s="57"/>
      <c r="Q103" s="59"/>
      <c r="R103" s="59"/>
      <c r="S103" s="60"/>
      <c r="AE103" s="59"/>
      <c r="AF103" s="60"/>
      <c r="AT103" s="59"/>
      <c r="AU103" s="60"/>
      <c r="BI103" s="59"/>
      <c r="BJ103" s="60"/>
    </row>
    <row r="104" spans="1:66" x14ac:dyDescent="0.25">
      <c r="A104" s="67" t="s">
        <v>165</v>
      </c>
    </row>
    <row r="105" spans="1:66" x14ac:dyDescent="0.25">
      <c r="A105" s="67"/>
    </row>
    <row r="106" spans="1:66" x14ac:dyDescent="0.25">
      <c r="A106" s="67"/>
      <c r="B106" s="3" t="s">
        <v>166</v>
      </c>
      <c r="C106" t="s">
        <v>167</v>
      </c>
      <c r="D106">
        <v>1.4</v>
      </c>
      <c r="E106">
        <v>1.4</v>
      </c>
      <c r="F106">
        <v>1.4</v>
      </c>
      <c r="G106">
        <v>1.4</v>
      </c>
      <c r="H106">
        <v>1.39</v>
      </c>
      <c r="I106">
        <v>1.44</v>
      </c>
      <c r="J106">
        <v>1.43</v>
      </c>
      <c r="K106">
        <v>1.43</v>
      </c>
      <c r="L106">
        <v>1.44</v>
      </c>
      <c r="M106">
        <v>1.45</v>
      </c>
      <c r="N106">
        <v>1.45</v>
      </c>
      <c r="O106">
        <v>1.44</v>
      </c>
      <c r="P106" s="5">
        <f t="shared" ref="P106:P107" si="43">IFERROR(STDEVA(D106:H106),#N/A)</f>
        <v>4.4721359549995841E-3</v>
      </c>
      <c r="Q106">
        <f t="shared" ref="Q106:Q108" si="44">MEDIAN(D106:H106)</f>
        <v>1.4</v>
      </c>
      <c r="R106" s="2">
        <f t="shared" ref="R106:R108" si="45">MAX(J106:O106)</f>
        <v>1.45</v>
      </c>
      <c r="S106" s="27">
        <f t="shared" ref="S106:S107" si="46">100*(R106-Q106)/Q106</f>
        <v>3.5714285714285747</v>
      </c>
      <c r="T106">
        <v>1.41</v>
      </c>
      <c r="U106">
        <v>1.41</v>
      </c>
      <c r="V106">
        <v>1.41</v>
      </c>
      <c r="W106">
        <v>1.41</v>
      </c>
      <c r="X106">
        <v>1.41</v>
      </c>
      <c r="Y106">
        <v>1.41</v>
      </c>
      <c r="Z106">
        <v>1.45</v>
      </c>
      <c r="AA106">
        <v>1.44</v>
      </c>
      <c r="AB106">
        <v>1.43</v>
      </c>
      <c r="AC106">
        <v>1.42</v>
      </c>
      <c r="AD106">
        <v>1.41</v>
      </c>
      <c r="AE106">
        <v>1.41</v>
      </c>
      <c r="AI106">
        <v>1.37</v>
      </c>
      <c r="AJ106">
        <v>1.37</v>
      </c>
      <c r="AK106">
        <v>1.38</v>
      </c>
      <c r="AL106">
        <v>1.4</v>
      </c>
      <c r="AM106">
        <v>1.38</v>
      </c>
      <c r="AN106">
        <v>1.4</v>
      </c>
      <c r="AO106">
        <v>1.41</v>
      </c>
      <c r="AP106">
        <v>1.41</v>
      </c>
      <c r="AQ106">
        <v>1.41</v>
      </c>
      <c r="AR106">
        <v>1.38</v>
      </c>
      <c r="AS106">
        <v>1.39</v>
      </c>
      <c r="AT106">
        <v>1.39</v>
      </c>
      <c r="AX106">
        <v>1.41</v>
      </c>
      <c r="AY106">
        <v>1.41</v>
      </c>
      <c r="AZ106">
        <v>1.41</v>
      </c>
      <c r="BA106">
        <v>1.41</v>
      </c>
      <c r="BB106">
        <v>1.41</v>
      </c>
      <c r="BC106">
        <v>1.43</v>
      </c>
      <c r="BD106">
        <v>1.43</v>
      </c>
      <c r="BE106">
        <v>1.42</v>
      </c>
      <c r="BF106">
        <v>1.42</v>
      </c>
      <c r="BG106">
        <v>1.42</v>
      </c>
      <c r="BH106">
        <v>1.42</v>
      </c>
      <c r="BI106">
        <v>1.42</v>
      </c>
    </row>
    <row r="107" spans="1:66" x14ac:dyDescent="0.25">
      <c r="A107" s="67"/>
      <c r="B107" s="3" t="s">
        <v>166</v>
      </c>
      <c r="C107" t="s">
        <v>168</v>
      </c>
      <c r="E107">
        <v>1.4</v>
      </c>
      <c r="F107">
        <v>1.41</v>
      </c>
      <c r="G107">
        <v>1.4</v>
      </c>
      <c r="H107">
        <v>1.39</v>
      </c>
      <c r="I107">
        <v>1.4</v>
      </c>
      <c r="J107">
        <v>1.38</v>
      </c>
      <c r="K107">
        <v>1.37</v>
      </c>
      <c r="L107">
        <v>1.37</v>
      </c>
      <c r="M107">
        <v>1.38</v>
      </c>
      <c r="N107">
        <v>1.39</v>
      </c>
      <c r="O107">
        <v>1.39</v>
      </c>
      <c r="P107" s="5">
        <f t="shared" si="43"/>
        <v>8.1649658092772682E-3</v>
      </c>
      <c r="Q107">
        <f t="shared" si="44"/>
        <v>1.4</v>
      </c>
      <c r="R107" s="2">
        <f t="shared" si="45"/>
        <v>1.39</v>
      </c>
      <c r="S107" s="27">
        <f t="shared" si="46"/>
        <v>-0.71428571428571497</v>
      </c>
      <c r="T107">
        <v>1.39</v>
      </c>
      <c r="U107">
        <v>1.39</v>
      </c>
      <c r="V107">
        <v>1.39</v>
      </c>
      <c r="W107">
        <v>1.39</v>
      </c>
      <c r="X107">
        <v>1.39</v>
      </c>
      <c r="Y107">
        <v>1.42</v>
      </c>
      <c r="Z107">
        <v>1.4</v>
      </c>
      <c r="AA107">
        <v>1.44</v>
      </c>
      <c r="AB107">
        <v>1.43</v>
      </c>
      <c r="AC107">
        <v>1.42</v>
      </c>
      <c r="AD107">
        <v>1.41</v>
      </c>
      <c r="AE107">
        <v>1.38</v>
      </c>
      <c r="AI107">
        <v>1.37</v>
      </c>
      <c r="AJ107">
        <v>1.35</v>
      </c>
      <c r="AK107">
        <v>1.35</v>
      </c>
      <c r="AL107">
        <v>1.36</v>
      </c>
      <c r="AM107">
        <v>1.36</v>
      </c>
      <c r="AN107">
        <v>1.38</v>
      </c>
      <c r="AO107">
        <v>1.39</v>
      </c>
      <c r="AP107">
        <v>1.4</v>
      </c>
      <c r="AQ107">
        <v>1.38</v>
      </c>
      <c r="AR107">
        <v>1.39</v>
      </c>
      <c r="AS107">
        <v>1.4</v>
      </c>
      <c r="AT107">
        <v>1.38</v>
      </c>
      <c r="AX107">
        <v>1.4</v>
      </c>
      <c r="AY107">
        <v>1.42</v>
      </c>
      <c r="AZ107">
        <v>1.39</v>
      </c>
      <c r="BA107">
        <v>1.4</v>
      </c>
      <c r="BB107">
        <v>1.37</v>
      </c>
      <c r="BC107">
        <v>1.38</v>
      </c>
      <c r="BD107">
        <v>1.45</v>
      </c>
      <c r="BE107">
        <v>1.44</v>
      </c>
      <c r="BF107">
        <v>1.42</v>
      </c>
      <c r="BG107">
        <v>1.41</v>
      </c>
      <c r="BH107">
        <v>1.38</v>
      </c>
      <c r="BI107">
        <v>1.39</v>
      </c>
    </row>
    <row r="108" spans="1:66" x14ac:dyDescent="0.25">
      <c r="A108" s="67"/>
      <c r="B108" s="3" t="s">
        <v>166</v>
      </c>
      <c r="C108" t="s">
        <v>169</v>
      </c>
      <c r="D108">
        <v>1.38</v>
      </c>
      <c r="E108">
        <v>1.4</v>
      </c>
      <c r="F108">
        <v>1.4</v>
      </c>
      <c r="G108">
        <v>1.38</v>
      </c>
      <c r="H108">
        <v>1.35</v>
      </c>
      <c r="I108">
        <v>1.36</v>
      </c>
      <c r="J108">
        <v>1.43</v>
      </c>
      <c r="K108">
        <v>1.43</v>
      </c>
      <c r="L108">
        <v>1.42</v>
      </c>
      <c r="M108">
        <v>1.41</v>
      </c>
      <c r="N108">
        <v>1.4</v>
      </c>
      <c r="O108">
        <v>1.38</v>
      </c>
      <c r="P108" s="5">
        <f t="shared" ref="P108:P112" si="47">IFERROR(STDEVA(D108:H108),#N/A)</f>
        <v>2.0493901531919129E-2</v>
      </c>
      <c r="Q108">
        <f t="shared" si="44"/>
        <v>1.38</v>
      </c>
      <c r="R108" s="2">
        <f t="shared" si="45"/>
        <v>1.43</v>
      </c>
      <c r="S108" s="27">
        <f t="shared" ref="S108:S112" si="48">100*(R108-Q108)/Q108</f>
        <v>3.6231884057971051</v>
      </c>
      <c r="T108">
        <v>1.39</v>
      </c>
      <c r="U108">
        <v>1.41</v>
      </c>
      <c r="V108">
        <v>1.38</v>
      </c>
      <c r="W108">
        <v>1.43</v>
      </c>
      <c r="X108">
        <v>1.43</v>
      </c>
      <c r="Y108">
        <v>1.38</v>
      </c>
      <c r="Z108">
        <v>1.44</v>
      </c>
      <c r="AA108">
        <v>1.45</v>
      </c>
      <c r="AB108">
        <v>1.45</v>
      </c>
      <c r="AC108">
        <v>1.44</v>
      </c>
      <c r="AD108">
        <v>1.44</v>
      </c>
      <c r="AE108">
        <v>1.43</v>
      </c>
      <c r="AI108">
        <v>1.39</v>
      </c>
      <c r="AJ108">
        <v>1.4</v>
      </c>
      <c r="AK108">
        <v>1.41</v>
      </c>
      <c r="AL108">
        <v>1.41</v>
      </c>
      <c r="AM108">
        <v>1.39</v>
      </c>
      <c r="AN108">
        <v>1.35</v>
      </c>
      <c r="AO108">
        <v>1.43</v>
      </c>
      <c r="AP108">
        <v>1.44</v>
      </c>
      <c r="AQ108">
        <v>1.41</v>
      </c>
      <c r="AR108">
        <v>1.39</v>
      </c>
      <c r="AS108">
        <v>1.37</v>
      </c>
      <c r="AT108">
        <v>1.36</v>
      </c>
      <c r="AX108">
        <v>1.4</v>
      </c>
      <c r="AY108">
        <v>1.4</v>
      </c>
      <c r="AZ108">
        <v>1.39</v>
      </c>
      <c r="BA108">
        <v>1.41</v>
      </c>
      <c r="BB108">
        <v>1.4</v>
      </c>
      <c r="BC108">
        <v>1.39</v>
      </c>
      <c r="BD108">
        <v>1.43</v>
      </c>
      <c r="BE108">
        <v>1.41</v>
      </c>
      <c r="BF108">
        <v>1.41</v>
      </c>
      <c r="BG108">
        <v>1.4</v>
      </c>
      <c r="BH108">
        <v>1.4</v>
      </c>
      <c r="BI108">
        <v>1.4</v>
      </c>
    </row>
    <row r="109" spans="1:66" x14ac:dyDescent="0.25">
      <c r="A109" s="67"/>
      <c r="B109" s="3" t="s">
        <v>166</v>
      </c>
      <c r="C109" t="s">
        <v>170</v>
      </c>
      <c r="D109">
        <v>1.38</v>
      </c>
      <c r="E109">
        <v>1.38</v>
      </c>
      <c r="F109">
        <v>1.38</v>
      </c>
      <c r="G109">
        <v>1.39</v>
      </c>
      <c r="H109">
        <v>1.39</v>
      </c>
      <c r="I109">
        <v>1.41</v>
      </c>
      <c r="J109">
        <v>1.45</v>
      </c>
      <c r="K109">
        <v>1.45</v>
      </c>
      <c r="L109">
        <v>1.44</v>
      </c>
      <c r="M109">
        <v>1.43</v>
      </c>
      <c r="N109">
        <v>1.43</v>
      </c>
      <c r="O109">
        <v>1.43</v>
      </c>
      <c r="P109" s="5">
        <f t="shared" si="47"/>
        <v>5.4772255750516656E-3</v>
      </c>
      <c r="Q109">
        <f t="shared" ref="Q109:Q112" si="49">MEDIAN(D109:H109)</f>
        <v>1.38</v>
      </c>
      <c r="R109" s="2">
        <f t="shared" ref="R109:R112" si="50">MAX(J109:O109)</f>
        <v>1.45</v>
      </c>
      <c r="S109" s="27">
        <f t="shared" si="48"/>
        <v>5.0724637681159468</v>
      </c>
      <c r="T109">
        <v>1.39</v>
      </c>
      <c r="U109">
        <v>1.37</v>
      </c>
      <c r="V109">
        <v>1.39</v>
      </c>
      <c r="W109">
        <v>1.4</v>
      </c>
      <c r="X109">
        <v>1.41</v>
      </c>
      <c r="Y109">
        <v>1.38</v>
      </c>
      <c r="Z109">
        <v>1.44</v>
      </c>
      <c r="AA109">
        <v>1.44</v>
      </c>
      <c r="AB109">
        <v>1.45</v>
      </c>
      <c r="AC109">
        <v>1.45</v>
      </c>
      <c r="AD109">
        <v>1.45</v>
      </c>
      <c r="AE109">
        <v>1.46</v>
      </c>
      <c r="AI109">
        <v>1.35</v>
      </c>
      <c r="AJ109">
        <v>1.37</v>
      </c>
      <c r="AK109">
        <v>1.36</v>
      </c>
      <c r="AL109">
        <v>1.38</v>
      </c>
      <c r="AM109">
        <v>1.38</v>
      </c>
      <c r="AN109">
        <v>1.4</v>
      </c>
      <c r="AO109">
        <v>1.44</v>
      </c>
      <c r="AP109">
        <v>1.42</v>
      </c>
      <c r="AQ109">
        <v>1.41</v>
      </c>
      <c r="AR109">
        <v>1.41</v>
      </c>
      <c r="AS109">
        <v>1.41</v>
      </c>
      <c r="AT109">
        <v>1.42</v>
      </c>
      <c r="AX109">
        <v>1.36</v>
      </c>
      <c r="AY109">
        <v>1.4</v>
      </c>
      <c r="AZ109">
        <v>1.39</v>
      </c>
      <c r="BA109">
        <v>1.39</v>
      </c>
      <c r="BB109">
        <v>1.39</v>
      </c>
      <c r="BC109">
        <v>1.38</v>
      </c>
      <c r="BD109">
        <v>1.44</v>
      </c>
      <c r="BE109">
        <v>1.42</v>
      </c>
      <c r="BF109">
        <v>1.41</v>
      </c>
      <c r="BG109">
        <v>1.41</v>
      </c>
      <c r="BH109">
        <v>1.4</v>
      </c>
      <c r="BI109">
        <v>1.38</v>
      </c>
    </row>
    <row r="110" spans="1:66" x14ac:dyDescent="0.25">
      <c r="A110" s="67"/>
      <c r="B110" s="3" t="s">
        <v>166</v>
      </c>
      <c r="C110" t="s">
        <v>171</v>
      </c>
      <c r="D110">
        <v>1.35</v>
      </c>
      <c r="E110">
        <v>1.33</v>
      </c>
      <c r="F110">
        <v>1.33</v>
      </c>
      <c r="G110">
        <v>1.34</v>
      </c>
      <c r="H110">
        <v>1.37</v>
      </c>
      <c r="I110">
        <v>1.36</v>
      </c>
      <c r="J110">
        <v>1.43</v>
      </c>
      <c r="K110">
        <v>1.43</v>
      </c>
      <c r="L110">
        <v>1.38</v>
      </c>
      <c r="M110">
        <v>1.38</v>
      </c>
      <c r="N110">
        <v>1.37</v>
      </c>
      <c r="O110">
        <v>1.36</v>
      </c>
      <c r="P110" s="5">
        <f t="shared" si="47"/>
        <v>1.6733200530681527E-2</v>
      </c>
      <c r="Q110">
        <f t="shared" si="49"/>
        <v>1.34</v>
      </c>
      <c r="R110" s="2">
        <f t="shared" si="50"/>
        <v>1.43</v>
      </c>
      <c r="S110" s="27">
        <f t="shared" si="48"/>
        <v>6.7164179104477499</v>
      </c>
      <c r="T110">
        <v>1.4</v>
      </c>
      <c r="U110">
        <v>1.4</v>
      </c>
      <c r="V110">
        <v>1.4</v>
      </c>
      <c r="W110">
        <v>1.41</v>
      </c>
      <c r="X110">
        <v>1.41</v>
      </c>
      <c r="Y110">
        <v>1.38</v>
      </c>
      <c r="Z110">
        <v>1.44</v>
      </c>
      <c r="AA110">
        <v>1.41</v>
      </c>
      <c r="AB110">
        <v>1.4</v>
      </c>
      <c r="AC110">
        <v>1.4</v>
      </c>
      <c r="AD110">
        <v>1.4</v>
      </c>
      <c r="AE110">
        <v>1.41</v>
      </c>
      <c r="AI110">
        <v>1.41</v>
      </c>
      <c r="AJ110">
        <v>1.42</v>
      </c>
      <c r="AK110">
        <v>1.43</v>
      </c>
      <c r="AL110">
        <v>1.43</v>
      </c>
      <c r="AM110">
        <v>1.43</v>
      </c>
      <c r="AN110">
        <v>1.4</v>
      </c>
      <c r="AO110">
        <v>1.43</v>
      </c>
      <c r="AP110">
        <v>1.43</v>
      </c>
      <c r="AQ110">
        <v>1.42</v>
      </c>
      <c r="AR110">
        <v>1.42</v>
      </c>
      <c r="AS110">
        <v>1.42</v>
      </c>
      <c r="AT110">
        <v>1.42</v>
      </c>
      <c r="AX110">
        <v>1.41</v>
      </c>
      <c r="AY110">
        <v>1.42</v>
      </c>
      <c r="AZ110">
        <v>1.42</v>
      </c>
      <c r="BA110">
        <v>1.42</v>
      </c>
      <c r="BB110">
        <v>1.37</v>
      </c>
      <c r="BC110">
        <v>1.4</v>
      </c>
      <c r="BD110">
        <v>1.44</v>
      </c>
      <c r="BE110">
        <v>1.45</v>
      </c>
      <c r="BF110">
        <v>1.43</v>
      </c>
      <c r="BG110">
        <v>1.43</v>
      </c>
      <c r="BH110">
        <v>1.43</v>
      </c>
      <c r="BI110">
        <v>1.43</v>
      </c>
    </row>
    <row r="111" spans="1:66" x14ac:dyDescent="0.25">
      <c r="A111" s="67"/>
      <c r="B111" s="3" t="s">
        <v>166</v>
      </c>
      <c r="C111" t="s">
        <v>172</v>
      </c>
      <c r="D111">
        <v>1.4</v>
      </c>
      <c r="E111">
        <v>1.4</v>
      </c>
      <c r="F111">
        <v>1.39</v>
      </c>
      <c r="G111">
        <v>1.39</v>
      </c>
      <c r="H111">
        <v>1.38</v>
      </c>
      <c r="I111">
        <v>1.37</v>
      </c>
      <c r="J111">
        <v>1.42</v>
      </c>
      <c r="K111">
        <v>1.41</v>
      </c>
      <c r="L111">
        <v>1.39</v>
      </c>
      <c r="M111">
        <v>1.39</v>
      </c>
      <c r="N111">
        <v>1.39</v>
      </c>
      <c r="O111">
        <v>1.39</v>
      </c>
      <c r="P111" s="5">
        <f t="shared" si="47"/>
        <v>8.3666002653407633E-3</v>
      </c>
      <c r="Q111">
        <f t="shared" si="49"/>
        <v>1.39</v>
      </c>
      <c r="R111" s="2">
        <f t="shared" si="50"/>
        <v>1.42</v>
      </c>
      <c r="S111" s="27">
        <f t="shared" si="48"/>
        <v>2.1582733812949662</v>
      </c>
      <c r="T111">
        <v>1.39</v>
      </c>
      <c r="U111">
        <v>1.39</v>
      </c>
      <c r="V111">
        <v>1.38</v>
      </c>
      <c r="W111">
        <v>1.4</v>
      </c>
      <c r="X111">
        <v>1.4</v>
      </c>
      <c r="Y111">
        <v>1.38</v>
      </c>
      <c r="Z111">
        <v>1.4</v>
      </c>
      <c r="AA111">
        <v>1.36</v>
      </c>
      <c r="AB111">
        <v>1.37</v>
      </c>
      <c r="AC111">
        <v>1.36</v>
      </c>
      <c r="AD111">
        <v>1.36</v>
      </c>
      <c r="AE111">
        <v>1.35</v>
      </c>
      <c r="AI111">
        <v>1.41</v>
      </c>
      <c r="AJ111">
        <v>1.39</v>
      </c>
      <c r="AK111">
        <v>1.37</v>
      </c>
      <c r="AL111">
        <v>1.39</v>
      </c>
      <c r="AM111">
        <v>1.39</v>
      </c>
      <c r="AN111">
        <v>1.39</v>
      </c>
      <c r="AO111">
        <v>1.42</v>
      </c>
      <c r="AP111">
        <v>1.41</v>
      </c>
      <c r="AQ111">
        <v>1.4</v>
      </c>
      <c r="AR111">
        <v>1.38</v>
      </c>
      <c r="AS111">
        <v>1.38</v>
      </c>
      <c r="AT111">
        <v>1.4</v>
      </c>
      <c r="AX111">
        <v>1.4</v>
      </c>
      <c r="AY111">
        <v>1.4</v>
      </c>
      <c r="AZ111">
        <v>1.4</v>
      </c>
      <c r="BA111">
        <v>1.4</v>
      </c>
      <c r="BB111">
        <v>1.4</v>
      </c>
      <c r="BC111">
        <v>1.4</v>
      </c>
      <c r="BD111">
        <v>1.43</v>
      </c>
      <c r="BE111">
        <v>1.42</v>
      </c>
      <c r="BF111">
        <v>1.41</v>
      </c>
      <c r="BG111">
        <v>1.4</v>
      </c>
      <c r="BH111">
        <v>1.4</v>
      </c>
      <c r="BI111">
        <v>1.4</v>
      </c>
    </row>
    <row r="112" spans="1:66" x14ac:dyDescent="0.25">
      <c r="A112" s="67"/>
      <c r="B112" s="3" t="s">
        <v>166</v>
      </c>
      <c r="C112" t="s">
        <v>173</v>
      </c>
      <c r="D112">
        <v>1.38</v>
      </c>
      <c r="E112">
        <v>1.41</v>
      </c>
      <c r="F112">
        <v>1.42</v>
      </c>
      <c r="G112">
        <v>1.4</v>
      </c>
      <c r="H112">
        <v>1.41</v>
      </c>
      <c r="I112">
        <v>1.4</v>
      </c>
      <c r="J112">
        <v>1.46</v>
      </c>
      <c r="K112">
        <v>1.45</v>
      </c>
      <c r="L112">
        <v>1.43</v>
      </c>
      <c r="M112">
        <v>1.41</v>
      </c>
      <c r="N112">
        <v>1.4</v>
      </c>
      <c r="O112">
        <v>1.41</v>
      </c>
      <c r="P112" s="5">
        <f t="shared" si="47"/>
        <v>1.5165750888103114E-2</v>
      </c>
      <c r="Q112">
        <f t="shared" si="49"/>
        <v>1.41</v>
      </c>
      <c r="R112" s="2">
        <f t="shared" si="50"/>
        <v>1.46</v>
      </c>
      <c r="S112" s="27">
        <f t="shared" si="48"/>
        <v>3.5460992907801452</v>
      </c>
    </row>
    <row r="113" spans="1:66" x14ac:dyDescent="0.25">
      <c r="A113" s="67"/>
      <c r="B113" s="3"/>
      <c r="P113" s="31" t="s">
        <v>110</v>
      </c>
      <c r="Q113" s="30">
        <f>AVERAGE(Q106:Q112)</f>
        <v>1.3857142857142857</v>
      </c>
      <c r="R113" s="30">
        <f>AVERAGE(R107:R112)</f>
        <v>1.4299999999999997</v>
      </c>
      <c r="S113" s="29">
        <f>AVERAGE(S106:S112)</f>
        <v>3.4247979447969672</v>
      </c>
    </row>
    <row r="114" spans="1:66" x14ac:dyDescent="0.25">
      <c r="A114" s="67"/>
      <c r="B114" s="3"/>
      <c r="P114" s="31" t="s">
        <v>111</v>
      </c>
      <c r="Q114" s="29">
        <f>STDEVA(Q106:Q112)</f>
        <v>2.299068134204435E-2</v>
      </c>
      <c r="R114" s="29">
        <f>STDEVA(R107:R112)</f>
        <v>2.4494897427831803E-2</v>
      </c>
      <c r="S114" s="29">
        <f>STDEVA(S106:S112)</f>
        <v>2.3223994776474566</v>
      </c>
    </row>
    <row r="115" spans="1:66" ht="16.5" thickBot="1" x14ac:dyDescent="0.3">
      <c r="A115" s="67"/>
      <c r="B115" s="3"/>
      <c r="P115" s="31" t="s">
        <v>112</v>
      </c>
      <c r="Q115" s="32">
        <f>Q114/Q113</f>
        <v>1.6591213339619635E-2</v>
      </c>
      <c r="R115" s="32">
        <f>R114/R113</f>
        <v>1.7129298900581683E-2</v>
      </c>
      <c r="S115" s="32">
        <f>S114/S113</f>
        <v>0.67811284492730439</v>
      </c>
    </row>
    <row r="116" spans="1:66" x14ac:dyDescent="0.25">
      <c r="A116" s="4"/>
      <c r="B116" s="3"/>
      <c r="N116" s="9"/>
      <c r="O116" s="8" t="s">
        <v>113</v>
      </c>
      <c r="P116" s="10">
        <v>5</v>
      </c>
      <c r="Q116" s="15" t="s">
        <v>114</v>
      </c>
      <c r="R116" s="16"/>
      <c r="S116" s="16"/>
      <c r="T116" s="16"/>
      <c r="U116" s="17"/>
      <c r="AC116" s="9"/>
      <c r="AD116" s="9"/>
      <c r="AE116" s="8" t="s">
        <v>113</v>
      </c>
      <c r="AF116" s="10">
        <v>5</v>
      </c>
      <c r="AG116" s="15" t="s">
        <v>114</v>
      </c>
      <c r="AH116" s="16"/>
      <c r="AI116" s="11"/>
      <c r="AJ116" s="12"/>
      <c r="AS116" s="9"/>
      <c r="AT116" s="8" t="s">
        <v>113</v>
      </c>
      <c r="AU116" s="10">
        <v>5</v>
      </c>
      <c r="AV116" s="15" t="s">
        <v>114</v>
      </c>
      <c r="AW116" s="16"/>
      <c r="AX116" s="11"/>
      <c r="AY116" s="12"/>
      <c r="BG116" s="9"/>
      <c r="BH116" s="9"/>
      <c r="BI116" s="8" t="s">
        <v>113</v>
      </c>
      <c r="BJ116" s="10">
        <v>5</v>
      </c>
      <c r="BK116" s="15" t="s">
        <v>114</v>
      </c>
      <c r="BL116" s="16"/>
      <c r="BM116" s="11"/>
      <c r="BN116" s="12"/>
    </row>
    <row r="117" spans="1:66" ht="16.5" thickBot="1" x14ac:dyDescent="0.3">
      <c r="A117" s="4"/>
      <c r="B117" s="3"/>
      <c r="N117" s="9"/>
      <c r="O117" s="8" t="s">
        <v>115</v>
      </c>
      <c r="P117" s="10">
        <v>7</v>
      </c>
      <c r="Q117" s="18" t="s">
        <v>114</v>
      </c>
      <c r="R117" s="54"/>
      <c r="S117" s="13"/>
      <c r="T117" s="13"/>
      <c r="U117" s="14"/>
      <c r="AC117" s="9"/>
      <c r="AD117" s="9"/>
      <c r="AE117" s="8" t="s">
        <v>115</v>
      </c>
      <c r="AF117" s="10">
        <v>10</v>
      </c>
      <c r="AG117" s="18" t="s">
        <v>114</v>
      </c>
      <c r="AH117" s="13"/>
      <c r="AI117" s="13"/>
      <c r="AJ117" s="14"/>
      <c r="AS117" s="9"/>
      <c r="AT117" s="8" t="s">
        <v>115</v>
      </c>
      <c r="AU117" s="10">
        <v>10</v>
      </c>
      <c r="AV117" s="18" t="s">
        <v>114</v>
      </c>
      <c r="AW117" s="13"/>
      <c r="AX117" s="13"/>
      <c r="AY117" s="14"/>
      <c r="BG117" s="9"/>
      <c r="BH117" s="9"/>
      <c r="BI117" s="8" t="s">
        <v>115</v>
      </c>
      <c r="BJ117" s="10">
        <v>10</v>
      </c>
      <c r="BK117" s="18" t="s">
        <v>114</v>
      </c>
      <c r="BL117" s="13"/>
      <c r="BM117" s="13"/>
      <c r="BN117" s="14"/>
    </row>
    <row r="118" spans="1:66" x14ac:dyDescent="0.25">
      <c r="A118" s="4"/>
      <c r="B118" s="3"/>
      <c r="O118" s="2" t="s">
        <v>116</v>
      </c>
      <c r="P118" s="5">
        <f>SQRT(AVERAGE(P104:P115))</f>
        <v>0.10614934260974895</v>
      </c>
      <c r="AE118" s="2" t="s">
        <v>116</v>
      </c>
      <c r="AF118" s="5" t="e">
        <f>SQRT(AVERAGE(AF104:AF115))</f>
        <v>#DIV/0!</v>
      </c>
      <c r="AT118" s="2" t="s">
        <v>116</v>
      </c>
      <c r="AU118" s="5" t="e">
        <f>SQRT(AVERAGE(AU104:AU115))</f>
        <v>#DIV/0!</v>
      </c>
      <c r="BI118" s="2" t="s">
        <v>116</v>
      </c>
      <c r="BJ118" s="5" t="e">
        <f>SQRT(AVERAGE(BJ104:BJ115))</f>
        <v>#DIV/0!</v>
      </c>
    </row>
    <row r="119" spans="1:66" x14ac:dyDescent="0.25">
      <c r="A119" s="4"/>
      <c r="B119" s="3"/>
      <c r="O119" s="2" t="s">
        <v>117</v>
      </c>
      <c r="P119" s="5">
        <f>2.77*P118</f>
        <v>0.29403367902900462</v>
      </c>
      <c r="AE119" s="2" t="s">
        <v>117</v>
      </c>
      <c r="AF119" s="5" t="e">
        <f>2.77*AF118</f>
        <v>#DIV/0!</v>
      </c>
      <c r="AT119" s="2" t="s">
        <v>117</v>
      </c>
      <c r="AU119" s="5" t="e">
        <f>2.77*AU118</f>
        <v>#DIV/0!</v>
      </c>
      <c r="BI119" s="2" t="s">
        <v>117</v>
      </c>
      <c r="BJ119" s="5" t="e">
        <f>2.77*BJ118</f>
        <v>#DIV/0!</v>
      </c>
    </row>
    <row r="120" spans="1:66" x14ac:dyDescent="0.25">
      <c r="A120" s="4"/>
      <c r="B120" s="3"/>
      <c r="O120" s="2" t="s">
        <v>118</v>
      </c>
      <c r="P120" s="5">
        <f>P119-(1.96*(P118/(SQRT(2*P117*(P116-1)))))</f>
        <v>0.26623146599761705</v>
      </c>
      <c r="AE120" s="2" t="s">
        <v>118</v>
      </c>
      <c r="AF120" s="5" t="e">
        <f>AF119-(1.96*(AF118/(SQRT(2*AF117*(AF116-1)))))</f>
        <v>#DIV/0!</v>
      </c>
      <c r="AT120" s="2" t="s">
        <v>118</v>
      </c>
      <c r="AU120" s="5" t="e">
        <f>AU119-(1.96*(AU118/(SQRT(2*AU117*(AU116-1)))))</f>
        <v>#DIV/0!</v>
      </c>
      <c r="BI120" s="2" t="s">
        <v>118</v>
      </c>
      <c r="BJ120" s="5" t="e">
        <f>BJ119-(1.96*(BJ118/(SQRT(2*BJ117*(BJ116-1)))))</f>
        <v>#DIV/0!</v>
      </c>
    </row>
    <row r="121" spans="1:66" x14ac:dyDescent="0.25">
      <c r="A121" s="4"/>
      <c r="B121" s="3"/>
      <c r="O121" s="2" t="s">
        <v>119</v>
      </c>
      <c r="P121" s="5">
        <f>P119+(1.96*(P118/(SQRT(2*P117*(P116-1)))))</f>
        <v>0.3218358920603922</v>
      </c>
      <c r="AE121" s="2" t="s">
        <v>119</v>
      </c>
      <c r="AF121" s="5" t="e">
        <f>AF119+(1.96*(AF118/(SQRT(2*AF117*(AF116-1)))))</f>
        <v>#DIV/0!</v>
      </c>
      <c r="AT121" s="2" t="s">
        <v>119</v>
      </c>
      <c r="AU121" s="5" t="e">
        <f>AU119+(1.96*(AU118/(SQRT(2*AU117*(AU116-1)))))</f>
        <v>#DIV/0!</v>
      </c>
      <c r="BI121" s="2" t="s">
        <v>119</v>
      </c>
      <c r="BJ121" s="5" t="e">
        <f>BJ119+(1.96*(BJ118/(SQRT(2*BJ117*(BJ116-1)))))</f>
        <v>#DIV/0!</v>
      </c>
    </row>
    <row r="126" spans="1:66" x14ac:dyDescent="0.25">
      <c r="B126" s="3" t="s">
        <v>166</v>
      </c>
      <c r="C126" t="s">
        <v>174</v>
      </c>
      <c r="F126">
        <v>1.41</v>
      </c>
      <c r="G126">
        <v>1.4</v>
      </c>
      <c r="H126">
        <v>1.4</v>
      </c>
      <c r="I126">
        <v>1.37</v>
      </c>
      <c r="J126">
        <v>1.43</v>
      </c>
      <c r="K126">
        <v>1.42</v>
      </c>
      <c r="L126">
        <v>1.4</v>
      </c>
      <c r="M126">
        <v>1.37</v>
      </c>
      <c r="N126">
        <v>1.38</v>
      </c>
      <c r="O126">
        <v>1.38</v>
      </c>
      <c r="P126" s="5">
        <f>IFERROR(STDEVA(D126:H126),#N/A)</f>
        <v>5.7735026918962632E-3</v>
      </c>
      <c r="Q126">
        <f>MEDIAN(D126:H126)</f>
        <v>1.4</v>
      </c>
      <c r="R126" s="2">
        <f>MAX(J126:O126)</f>
        <v>1.43</v>
      </c>
      <c r="S126" s="27">
        <f>100*(R126-Q126)/Q126</f>
        <v>2.142857142857145</v>
      </c>
      <c r="T126">
        <v>1.4</v>
      </c>
      <c r="U126">
        <v>1.4</v>
      </c>
      <c r="V126">
        <v>1.38</v>
      </c>
      <c r="W126">
        <v>1.38</v>
      </c>
      <c r="X126">
        <v>1.38</v>
      </c>
      <c r="Y126">
        <v>1.4</v>
      </c>
      <c r="Z126">
        <v>1.41</v>
      </c>
      <c r="AA126">
        <v>1.42</v>
      </c>
      <c r="AB126">
        <v>1.42</v>
      </c>
      <c r="AC126">
        <v>1.42</v>
      </c>
      <c r="AD126">
        <v>1.41</v>
      </c>
      <c r="AE126">
        <v>1.42</v>
      </c>
      <c r="AI126">
        <v>1.4</v>
      </c>
      <c r="AJ126">
        <v>1.4</v>
      </c>
      <c r="AK126">
        <v>1.4</v>
      </c>
      <c r="AL126">
        <v>1.4</v>
      </c>
      <c r="AM126">
        <v>1.42</v>
      </c>
      <c r="AN126">
        <v>1.41</v>
      </c>
      <c r="AO126">
        <v>1.42</v>
      </c>
      <c r="AP126">
        <v>1.42</v>
      </c>
      <c r="AQ126">
        <v>1.42</v>
      </c>
      <c r="AR126">
        <v>1.43</v>
      </c>
      <c r="AS126">
        <v>1.43</v>
      </c>
      <c r="AT126">
        <v>1.43</v>
      </c>
      <c r="AX126">
        <v>1.39</v>
      </c>
      <c r="AY126">
        <v>1.39</v>
      </c>
      <c r="AZ126">
        <v>1.39</v>
      </c>
      <c r="BA126">
        <v>1.4</v>
      </c>
      <c r="BB126">
        <v>1.39</v>
      </c>
      <c r="BC126">
        <v>1.41</v>
      </c>
      <c r="BD126">
        <v>1.42</v>
      </c>
      <c r="BE126">
        <v>1.43</v>
      </c>
      <c r="BF126">
        <v>1.42</v>
      </c>
      <c r="BG126">
        <v>1.42</v>
      </c>
      <c r="BH126">
        <v>1.42</v>
      </c>
      <c r="BI126">
        <v>1.41</v>
      </c>
    </row>
    <row r="127" spans="1:66" x14ac:dyDescent="0.25">
      <c r="B127" s="3" t="s">
        <v>166</v>
      </c>
      <c r="C127" t="s">
        <v>175</v>
      </c>
      <c r="D127">
        <v>1.41</v>
      </c>
      <c r="E127">
        <v>1.42</v>
      </c>
      <c r="F127">
        <v>1.42</v>
      </c>
      <c r="G127">
        <v>1.43</v>
      </c>
      <c r="H127">
        <v>1.43</v>
      </c>
      <c r="I127">
        <v>1.41</v>
      </c>
      <c r="J127">
        <v>1.46</v>
      </c>
      <c r="K127">
        <v>1.46</v>
      </c>
      <c r="L127">
        <v>1.46</v>
      </c>
      <c r="M127">
        <v>1.46</v>
      </c>
      <c r="N127">
        <v>1.46</v>
      </c>
      <c r="O127">
        <v>1.46</v>
      </c>
      <c r="P127" s="5">
        <f>IFERROR(STDEVA(D127:H127),#N/A)</f>
        <v>8.3666002653407633E-3</v>
      </c>
      <c r="Q127">
        <f>MEDIAN(D127:H127)</f>
        <v>1.42</v>
      </c>
      <c r="R127" s="2">
        <f>MAX(J127:O127)</f>
        <v>1.46</v>
      </c>
      <c r="S127" s="27">
        <f>100*(R127-Q127)/Q127</f>
        <v>2.8169014084507067</v>
      </c>
      <c r="T127">
        <v>1.4</v>
      </c>
      <c r="U127">
        <v>1.39</v>
      </c>
      <c r="V127">
        <v>1.41</v>
      </c>
      <c r="W127">
        <v>1.4</v>
      </c>
      <c r="X127">
        <v>1.41</v>
      </c>
      <c r="Y127">
        <v>1.39</v>
      </c>
      <c r="Z127">
        <v>1.42</v>
      </c>
      <c r="AA127">
        <v>1.42</v>
      </c>
      <c r="AB127">
        <v>1.44</v>
      </c>
      <c r="AC127">
        <v>1.44</v>
      </c>
      <c r="AD127">
        <v>1.44</v>
      </c>
      <c r="AE127">
        <v>1.44</v>
      </c>
      <c r="AI127">
        <v>1.41</v>
      </c>
      <c r="AJ127">
        <v>1.42</v>
      </c>
      <c r="AK127">
        <v>1.42</v>
      </c>
      <c r="AL127">
        <v>1.42</v>
      </c>
      <c r="AM127">
        <v>1.41</v>
      </c>
      <c r="AN127">
        <v>1.4</v>
      </c>
      <c r="AO127">
        <v>1.45</v>
      </c>
      <c r="AP127">
        <v>1.45</v>
      </c>
      <c r="AQ127">
        <v>1.44</v>
      </c>
      <c r="AR127">
        <v>1.43</v>
      </c>
      <c r="AS127">
        <v>1.42</v>
      </c>
      <c r="AT127">
        <v>1.43</v>
      </c>
      <c r="AX127">
        <v>1.38</v>
      </c>
      <c r="AY127">
        <v>1.37</v>
      </c>
      <c r="AZ127">
        <v>1.41</v>
      </c>
      <c r="BA127">
        <v>1.39</v>
      </c>
      <c r="BB127">
        <v>1.4</v>
      </c>
      <c r="BC127">
        <v>1.37</v>
      </c>
      <c r="BD127">
        <v>1.43</v>
      </c>
      <c r="BE127">
        <v>1.42</v>
      </c>
      <c r="BF127">
        <v>1.4</v>
      </c>
      <c r="BG127">
        <v>1.4</v>
      </c>
      <c r="BH127">
        <v>1.41</v>
      </c>
      <c r="BI127">
        <v>1.41</v>
      </c>
    </row>
    <row r="128" spans="1:66" x14ac:dyDescent="0.25">
      <c r="B128" s="3" t="s">
        <v>166</v>
      </c>
      <c r="C128" t="s">
        <v>176</v>
      </c>
      <c r="D128">
        <v>1.39</v>
      </c>
      <c r="E128">
        <v>1.42</v>
      </c>
      <c r="F128">
        <v>1.41</v>
      </c>
      <c r="G128">
        <v>1.42</v>
      </c>
      <c r="H128">
        <v>1.42</v>
      </c>
      <c r="I128">
        <v>1.43</v>
      </c>
      <c r="J128">
        <v>1.42</v>
      </c>
      <c r="K128">
        <v>1.43</v>
      </c>
      <c r="L128">
        <v>1.41</v>
      </c>
      <c r="M128">
        <v>1.42</v>
      </c>
      <c r="N128">
        <v>1.43</v>
      </c>
      <c r="O128">
        <v>1.42</v>
      </c>
      <c r="P128" s="5">
        <f>IFERROR(STDEVA(D128:H128),#N/A)</f>
        <v>1.3038404810405309E-2</v>
      </c>
      <c r="Q128">
        <f>MEDIAN(D128:H128)</f>
        <v>1.42</v>
      </c>
      <c r="R128" s="2">
        <f>MAX(J128:O128)</f>
        <v>1.43</v>
      </c>
      <c r="S128" s="27">
        <f>100*(R128-Q128)/Q128</f>
        <v>0.70422535211267667</v>
      </c>
      <c r="T128">
        <v>1.39</v>
      </c>
      <c r="U128">
        <v>1.39</v>
      </c>
      <c r="V128">
        <v>1.39</v>
      </c>
      <c r="W128">
        <v>1.42</v>
      </c>
      <c r="X128">
        <v>1.4</v>
      </c>
      <c r="Y128">
        <v>1.43</v>
      </c>
      <c r="Z128">
        <v>1.42</v>
      </c>
      <c r="AA128">
        <v>1.45</v>
      </c>
      <c r="AB128">
        <v>1.44</v>
      </c>
      <c r="AC128">
        <v>1.43</v>
      </c>
      <c r="AD128">
        <v>1.43</v>
      </c>
      <c r="AE128">
        <v>1.43</v>
      </c>
      <c r="AI128">
        <v>1.43</v>
      </c>
      <c r="AJ128">
        <v>1.42</v>
      </c>
      <c r="AK128">
        <v>1.43</v>
      </c>
      <c r="AL128">
        <v>1.43</v>
      </c>
      <c r="AM128">
        <v>1.43</v>
      </c>
      <c r="AN128">
        <v>1.39</v>
      </c>
      <c r="AO128">
        <v>1.46</v>
      </c>
      <c r="AP128">
        <v>1.45</v>
      </c>
      <c r="AQ128">
        <v>1.45</v>
      </c>
      <c r="AR128">
        <v>1.44</v>
      </c>
      <c r="AS128">
        <v>1.43</v>
      </c>
      <c r="AT128">
        <v>1.43</v>
      </c>
      <c r="AX128">
        <v>1.42</v>
      </c>
      <c r="AY128">
        <v>1.43</v>
      </c>
      <c r="AZ128">
        <v>1.44</v>
      </c>
      <c r="BA128">
        <v>1.44</v>
      </c>
      <c r="BB128">
        <v>1.44</v>
      </c>
      <c r="BC128">
        <v>1.41</v>
      </c>
      <c r="BD128">
        <v>1.46</v>
      </c>
      <c r="BE128">
        <v>1.45</v>
      </c>
      <c r="BF128">
        <v>1.44</v>
      </c>
      <c r="BG128">
        <v>1.44</v>
      </c>
      <c r="BH128">
        <v>1.44</v>
      </c>
      <c r="BI128">
        <v>1.44</v>
      </c>
    </row>
    <row r="129" spans="2:61" x14ac:dyDescent="0.25">
      <c r="B129" s="3" t="s">
        <v>166</v>
      </c>
      <c r="C129" t="s">
        <v>177</v>
      </c>
      <c r="D129">
        <v>1.41</v>
      </c>
      <c r="E129">
        <v>1.41</v>
      </c>
      <c r="F129">
        <v>1.42</v>
      </c>
      <c r="G129">
        <v>1.41</v>
      </c>
      <c r="H129">
        <v>1.41</v>
      </c>
      <c r="I129">
        <v>1.4</v>
      </c>
      <c r="J129">
        <v>1.45</v>
      </c>
      <c r="K129">
        <v>1.44</v>
      </c>
      <c r="L129">
        <v>1.43</v>
      </c>
      <c r="M129">
        <v>1.43</v>
      </c>
      <c r="N129">
        <v>1.41</v>
      </c>
      <c r="O129">
        <v>1.42</v>
      </c>
      <c r="P129" s="5">
        <f>IFERROR(STDEVA(D129:H129),#N/A)</f>
        <v>4.4721359549995832E-3</v>
      </c>
      <c r="Q129">
        <f>MEDIAN(D129:H129)</f>
        <v>1.41</v>
      </c>
      <c r="R129" s="2">
        <f>MAX(J129:O129)</f>
        <v>1.45</v>
      </c>
      <c r="S129" s="27">
        <f>100*(R129-Q129)/Q129</f>
        <v>2.8368794326241162</v>
      </c>
    </row>
    <row r="130" spans="2:61" x14ac:dyDescent="0.25">
      <c r="B130" s="3" t="s">
        <v>166</v>
      </c>
      <c r="C130" t="s">
        <v>178</v>
      </c>
      <c r="D130">
        <v>1.4</v>
      </c>
      <c r="E130">
        <v>1.4</v>
      </c>
      <c r="F130">
        <v>1.4</v>
      </c>
      <c r="G130">
        <v>1.4</v>
      </c>
      <c r="H130">
        <v>1.4</v>
      </c>
      <c r="I130">
        <v>1.38</v>
      </c>
      <c r="J130">
        <v>1.45</v>
      </c>
      <c r="K130">
        <v>1.43</v>
      </c>
      <c r="L130">
        <v>1.42</v>
      </c>
      <c r="M130">
        <v>1.42</v>
      </c>
      <c r="N130">
        <v>1.41</v>
      </c>
      <c r="O130">
        <v>1.41</v>
      </c>
      <c r="P130" s="5">
        <f>IFERROR(STDEVA(D130:H130),#N/A)</f>
        <v>0</v>
      </c>
      <c r="Q130">
        <f>MEDIAN(D130:H130)</f>
        <v>1.4</v>
      </c>
      <c r="R130" s="2">
        <f>MAX(J130:O130)</f>
        <v>1.45</v>
      </c>
      <c r="S130" s="27">
        <f>100*(R130-Q130)/Q130</f>
        <v>3.5714285714285747</v>
      </c>
      <c r="T130">
        <v>1.4</v>
      </c>
      <c r="U130">
        <v>1.41</v>
      </c>
      <c r="V130">
        <v>1.41</v>
      </c>
      <c r="W130">
        <v>1.4</v>
      </c>
      <c r="X130">
        <v>1.41</v>
      </c>
      <c r="Y130">
        <v>1.37</v>
      </c>
      <c r="Z130">
        <v>1.44</v>
      </c>
      <c r="AA130">
        <v>1.43</v>
      </c>
      <c r="AB130">
        <v>1.43</v>
      </c>
      <c r="AC130">
        <v>1.41</v>
      </c>
      <c r="AD130">
        <v>1.41</v>
      </c>
      <c r="AE130">
        <v>1.41</v>
      </c>
      <c r="AI130">
        <v>1.41</v>
      </c>
      <c r="AJ130">
        <v>1.41</v>
      </c>
      <c r="AK130">
        <v>1.41</v>
      </c>
      <c r="AL130">
        <v>1.41</v>
      </c>
      <c r="AM130">
        <v>1.42</v>
      </c>
      <c r="AN130">
        <v>1.41</v>
      </c>
      <c r="AO130">
        <v>1.45</v>
      </c>
      <c r="AP130">
        <v>1.44</v>
      </c>
      <c r="AQ130">
        <v>1.42</v>
      </c>
      <c r="AR130">
        <v>1.42</v>
      </c>
      <c r="AS130">
        <v>1.42</v>
      </c>
      <c r="AT130">
        <v>1.43</v>
      </c>
      <c r="AX130">
        <v>1.42</v>
      </c>
      <c r="AY130">
        <v>1.41</v>
      </c>
      <c r="AZ130">
        <v>1.42</v>
      </c>
      <c r="BA130">
        <v>1.43</v>
      </c>
      <c r="BB130">
        <v>1.41</v>
      </c>
      <c r="BC130">
        <v>1.4</v>
      </c>
      <c r="BD130">
        <v>1.43</v>
      </c>
      <c r="BE130">
        <v>1.44</v>
      </c>
      <c r="BF130">
        <v>1.44</v>
      </c>
      <c r="BG130">
        <v>1.43</v>
      </c>
      <c r="BH130">
        <v>1.43</v>
      </c>
      <c r="BI130">
        <v>1.43</v>
      </c>
    </row>
  </sheetData>
  <mergeCells count="22">
    <mergeCell ref="AU1:AU2"/>
    <mergeCell ref="A104:A115"/>
    <mergeCell ref="AX1:BI1"/>
    <mergeCell ref="BJ1:BJ2"/>
    <mergeCell ref="D2:H2"/>
    <mergeCell ref="J2:O2"/>
    <mergeCell ref="T2:X2"/>
    <mergeCell ref="Z2:AE2"/>
    <mergeCell ref="AI2:AM2"/>
    <mergeCell ref="AO2:AT2"/>
    <mergeCell ref="AX2:BB2"/>
    <mergeCell ref="BD2:BI2"/>
    <mergeCell ref="D1:O1"/>
    <mergeCell ref="P1:P2"/>
    <mergeCell ref="T1:AE1"/>
    <mergeCell ref="AF1:AF2"/>
    <mergeCell ref="A81:A92"/>
    <mergeCell ref="AI1:AT1"/>
    <mergeCell ref="A4:A15"/>
    <mergeCell ref="A23:A32"/>
    <mergeCell ref="A40:A53"/>
    <mergeCell ref="A61:A7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7C02-02E6-4BDB-8415-F9D5885CCA0D}">
  <dimension ref="A1:AV14"/>
  <sheetViews>
    <sheetView topLeftCell="A4" workbookViewId="0">
      <selection activeCell="AF22" sqref="AF22"/>
    </sheetView>
  </sheetViews>
  <sheetFormatPr defaultRowHeight="15.75" x14ac:dyDescent="0.25"/>
  <cols>
    <col min="6" max="6" width="10.625" customWidth="1"/>
    <col min="15" max="15" width="11.125" customWidth="1"/>
    <col min="24" max="24" width="10.875" customWidth="1"/>
    <col min="32" max="32" width="10.125" customWidth="1"/>
    <col min="40" max="40" width="11.625" customWidth="1"/>
    <col min="48" max="48" width="11.125" customWidth="1"/>
  </cols>
  <sheetData>
    <row r="1" spans="1:48" ht="20.45" customHeight="1" x14ac:dyDescent="0.25">
      <c r="A1" t="s">
        <v>182</v>
      </c>
      <c r="B1" t="s">
        <v>120</v>
      </c>
      <c r="C1" t="s">
        <v>128</v>
      </c>
      <c r="D1" t="s">
        <v>140</v>
      </c>
      <c r="E1" t="s">
        <v>151</v>
      </c>
      <c r="F1" t="s">
        <v>184</v>
      </c>
      <c r="J1" t="s">
        <v>182</v>
      </c>
      <c r="K1" t="s">
        <v>120</v>
      </c>
      <c r="L1" t="s">
        <v>128</v>
      </c>
      <c r="M1" t="s">
        <v>140</v>
      </c>
      <c r="N1" t="s">
        <v>151</v>
      </c>
      <c r="O1" t="s">
        <v>184</v>
      </c>
      <c r="S1" t="s">
        <v>182</v>
      </c>
      <c r="T1" t="s">
        <v>120</v>
      </c>
      <c r="U1" t="s">
        <v>128</v>
      </c>
      <c r="V1" t="s">
        <v>140</v>
      </c>
      <c r="W1" t="s">
        <v>151</v>
      </c>
      <c r="X1" t="s">
        <v>184</v>
      </c>
      <c r="AA1" t="s">
        <v>182</v>
      </c>
      <c r="AB1" t="s">
        <v>120</v>
      </c>
      <c r="AC1" t="s">
        <v>128</v>
      </c>
      <c r="AD1" t="s">
        <v>140</v>
      </c>
      <c r="AE1" t="s">
        <v>151</v>
      </c>
      <c r="AF1" t="s">
        <v>184</v>
      </c>
      <c r="AI1" t="s">
        <v>182</v>
      </c>
      <c r="AJ1" t="s">
        <v>120</v>
      </c>
      <c r="AK1" t="s">
        <v>128</v>
      </c>
      <c r="AL1" t="s">
        <v>140</v>
      </c>
      <c r="AM1" t="s">
        <v>151</v>
      </c>
      <c r="AN1" t="s">
        <v>184</v>
      </c>
      <c r="AQ1" t="s">
        <v>182</v>
      </c>
      <c r="AR1" t="s">
        <v>120</v>
      </c>
      <c r="AS1" t="s">
        <v>128</v>
      </c>
      <c r="AT1" t="s">
        <v>140</v>
      </c>
      <c r="AU1" t="s">
        <v>151</v>
      </c>
      <c r="AV1" t="s">
        <v>184</v>
      </c>
    </row>
    <row r="2" spans="1:48" x14ac:dyDescent="0.25">
      <c r="A2">
        <v>22</v>
      </c>
      <c r="B2">
        <v>36</v>
      </c>
      <c r="C2">
        <v>41</v>
      </c>
      <c r="D2">
        <v>42</v>
      </c>
      <c r="E2">
        <v>49</v>
      </c>
      <c r="F2">
        <v>26</v>
      </c>
      <c r="J2">
        <v>1.49</v>
      </c>
      <c r="K2">
        <v>2.16</v>
      </c>
      <c r="L2">
        <v>2.5099999999999998</v>
      </c>
      <c r="M2">
        <v>2.66</v>
      </c>
      <c r="N2">
        <v>2.74</v>
      </c>
      <c r="O2">
        <v>1.51</v>
      </c>
      <c r="S2">
        <v>1.42</v>
      </c>
      <c r="T2">
        <v>2.0499999999999998</v>
      </c>
      <c r="U2">
        <v>2.15</v>
      </c>
      <c r="V2">
        <v>2.2599999999999998</v>
      </c>
      <c r="W2">
        <v>2.67</v>
      </c>
      <c r="X2">
        <v>1.65</v>
      </c>
      <c r="AA2">
        <v>62</v>
      </c>
      <c r="AB2">
        <v>68</v>
      </c>
      <c r="AC2">
        <v>68</v>
      </c>
      <c r="AD2">
        <v>66</v>
      </c>
      <c r="AE2">
        <v>74</v>
      </c>
      <c r="AF2">
        <v>41</v>
      </c>
      <c r="AI2">
        <v>63</v>
      </c>
      <c r="AJ2">
        <v>69</v>
      </c>
      <c r="AK2">
        <v>69</v>
      </c>
      <c r="AL2">
        <v>68</v>
      </c>
      <c r="AM2">
        <v>77</v>
      </c>
      <c r="AN2">
        <v>42</v>
      </c>
      <c r="AQ2">
        <v>1.34</v>
      </c>
      <c r="AR2">
        <v>1.37</v>
      </c>
      <c r="AS2">
        <v>1.39</v>
      </c>
      <c r="AT2">
        <v>1.39</v>
      </c>
      <c r="AU2">
        <v>1.41</v>
      </c>
      <c r="AV2">
        <v>1.4</v>
      </c>
    </row>
    <row r="3" spans="1:48" x14ac:dyDescent="0.25">
      <c r="A3">
        <v>48</v>
      </c>
      <c r="B3">
        <v>39</v>
      </c>
      <c r="C3">
        <v>20</v>
      </c>
      <c r="D3">
        <v>29</v>
      </c>
      <c r="E3">
        <v>30</v>
      </c>
      <c r="F3">
        <v>29</v>
      </c>
      <c r="J3">
        <v>2.5499999999999998</v>
      </c>
      <c r="K3">
        <v>2.4</v>
      </c>
      <c r="L3">
        <v>1.1299999999999999</v>
      </c>
      <c r="M3">
        <v>1.8</v>
      </c>
      <c r="N3">
        <v>1.87</v>
      </c>
      <c r="O3">
        <v>1.81</v>
      </c>
      <c r="S3">
        <v>2.82</v>
      </c>
      <c r="T3">
        <v>2.11</v>
      </c>
      <c r="U3">
        <v>1.1399999999999999</v>
      </c>
      <c r="V3">
        <v>1.61</v>
      </c>
      <c r="W3">
        <v>2.1800000000000002</v>
      </c>
      <c r="X3">
        <v>2.2949999999999999</v>
      </c>
      <c r="AA3">
        <v>68</v>
      </c>
      <c r="AB3">
        <v>64</v>
      </c>
      <c r="AC3">
        <v>56</v>
      </c>
      <c r="AD3">
        <v>62</v>
      </c>
      <c r="AE3">
        <v>48</v>
      </c>
      <c r="AF3">
        <v>47</v>
      </c>
      <c r="AI3">
        <v>70</v>
      </c>
      <c r="AJ3">
        <v>65</v>
      </c>
      <c r="AK3">
        <v>56</v>
      </c>
      <c r="AL3">
        <v>63</v>
      </c>
      <c r="AM3">
        <v>48</v>
      </c>
      <c r="AN3">
        <v>48.5</v>
      </c>
      <c r="AQ3">
        <v>1.41</v>
      </c>
      <c r="AR3">
        <v>1.39</v>
      </c>
      <c r="AS3">
        <v>1.33</v>
      </c>
      <c r="AT3">
        <v>1.36</v>
      </c>
      <c r="AU3">
        <v>1.4</v>
      </c>
      <c r="AV3">
        <v>1.4</v>
      </c>
    </row>
    <row r="4" spans="1:48" x14ac:dyDescent="0.25">
      <c r="A4">
        <v>47</v>
      </c>
      <c r="B4">
        <v>23</v>
      </c>
      <c r="C4">
        <v>27</v>
      </c>
      <c r="D4">
        <v>36</v>
      </c>
      <c r="E4">
        <v>23</v>
      </c>
      <c r="F4">
        <v>24</v>
      </c>
      <c r="J4">
        <v>2.59</v>
      </c>
      <c r="K4">
        <v>1.28</v>
      </c>
      <c r="L4">
        <v>1.6</v>
      </c>
      <c r="M4">
        <v>2.27</v>
      </c>
      <c r="N4">
        <v>1.36</v>
      </c>
      <c r="O4">
        <v>1.4</v>
      </c>
      <c r="S4">
        <v>2.68</v>
      </c>
      <c r="T4">
        <v>1.1000000000000001</v>
      </c>
      <c r="U4">
        <v>2.0499999999999998</v>
      </c>
      <c r="V4">
        <v>1.99</v>
      </c>
      <c r="W4">
        <v>2</v>
      </c>
      <c r="X4">
        <v>2.33</v>
      </c>
      <c r="AA4">
        <v>70</v>
      </c>
      <c r="AB4">
        <v>64</v>
      </c>
      <c r="AC4">
        <v>48</v>
      </c>
      <c r="AD4">
        <v>68</v>
      </c>
      <c r="AE4">
        <v>42</v>
      </c>
      <c r="AF4">
        <v>49</v>
      </c>
      <c r="AI4">
        <v>72</v>
      </c>
      <c r="AJ4">
        <v>66</v>
      </c>
      <c r="AK4">
        <v>48</v>
      </c>
      <c r="AL4">
        <v>70</v>
      </c>
      <c r="AM4">
        <v>43</v>
      </c>
      <c r="AN4">
        <v>49</v>
      </c>
      <c r="AQ4">
        <v>1.41</v>
      </c>
      <c r="AR4">
        <v>1.32</v>
      </c>
      <c r="AS4">
        <v>1.4</v>
      </c>
      <c r="AT4">
        <v>1.37</v>
      </c>
      <c r="AU4">
        <v>1.39</v>
      </c>
      <c r="AV4">
        <v>1.38</v>
      </c>
    </row>
    <row r="5" spans="1:48" x14ac:dyDescent="0.25">
      <c r="A5">
        <v>27</v>
      </c>
      <c r="B5">
        <v>41</v>
      </c>
      <c r="C5">
        <v>21</v>
      </c>
      <c r="D5">
        <v>43</v>
      </c>
      <c r="E5">
        <v>34</v>
      </c>
      <c r="F5">
        <v>23</v>
      </c>
      <c r="J5">
        <v>2.23</v>
      </c>
      <c r="K5">
        <v>2.37</v>
      </c>
      <c r="L5">
        <v>1.2000000000000002</v>
      </c>
      <c r="M5">
        <v>2.46</v>
      </c>
      <c r="N5">
        <v>2.2000000000000002</v>
      </c>
      <c r="O5">
        <v>1.39</v>
      </c>
      <c r="S5">
        <v>1.94</v>
      </c>
      <c r="T5">
        <v>3.42</v>
      </c>
      <c r="U5">
        <v>1.81</v>
      </c>
      <c r="V5">
        <v>3.74</v>
      </c>
      <c r="W5">
        <v>2.2200000000000002</v>
      </c>
      <c r="X5">
        <v>2.15</v>
      </c>
      <c r="AA5">
        <v>67</v>
      </c>
      <c r="AB5">
        <v>54</v>
      </c>
      <c r="AC5">
        <v>47</v>
      </c>
      <c r="AD5">
        <v>53</v>
      </c>
      <c r="AE5">
        <v>43</v>
      </c>
      <c r="AF5">
        <v>46</v>
      </c>
      <c r="AI5">
        <v>69</v>
      </c>
      <c r="AJ5">
        <v>57</v>
      </c>
      <c r="AK5">
        <v>47.5</v>
      </c>
      <c r="AL5">
        <v>55</v>
      </c>
      <c r="AM5">
        <v>44</v>
      </c>
      <c r="AN5">
        <v>46</v>
      </c>
      <c r="AQ5">
        <v>1.37</v>
      </c>
      <c r="AR5">
        <v>1.43</v>
      </c>
      <c r="AS5">
        <v>1.37</v>
      </c>
      <c r="AT5">
        <v>1.44</v>
      </c>
      <c r="AU5">
        <v>1.41</v>
      </c>
      <c r="AV5">
        <v>1.38</v>
      </c>
    </row>
    <row r="6" spans="1:48" x14ac:dyDescent="0.25">
      <c r="A6">
        <v>33</v>
      </c>
      <c r="B6">
        <v>52</v>
      </c>
      <c r="C6">
        <v>27</v>
      </c>
      <c r="D6">
        <v>25</v>
      </c>
      <c r="E6">
        <v>45</v>
      </c>
      <c r="F6">
        <v>17</v>
      </c>
      <c r="J6">
        <v>2.0499999999999998</v>
      </c>
      <c r="K6">
        <v>2.73</v>
      </c>
      <c r="L6">
        <v>1.68</v>
      </c>
      <c r="M6">
        <v>1.42</v>
      </c>
      <c r="N6">
        <v>2.63</v>
      </c>
      <c r="O6">
        <v>0.96</v>
      </c>
      <c r="S6">
        <v>1.82</v>
      </c>
      <c r="T6">
        <v>5.15</v>
      </c>
      <c r="U6">
        <v>2.17</v>
      </c>
      <c r="V6">
        <v>1.79</v>
      </c>
      <c r="W6">
        <v>2.96</v>
      </c>
      <c r="X6">
        <v>1.45</v>
      </c>
      <c r="AA6">
        <v>59</v>
      </c>
      <c r="AB6">
        <v>56</v>
      </c>
      <c r="AC6">
        <v>42</v>
      </c>
      <c r="AD6">
        <v>42</v>
      </c>
      <c r="AE6">
        <v>55</v>
      </c>
      <c r="AF6">
        <v>48</v>
      </c>
      <c r="AI6">
        <v>59</v>
      </c>
      <c r="AJ6">
        <v>58</v>
      </c>
      <c r="AK6">
        <v>43</v>
      </c>
      <c r="AL6">
        <v>43</v>
      </c>
      <c r="AM6">
        <v>57</v>
      </c>
      <c r="AN6">
        <v>48</v>
      </c>
      <c r="AQ6">
        <v>1.39</v>
      </c>
      <c r="AR6">
        <v>1.46</v>
      </c>
      <c r="AS6">
        <v>1.4</v>
      </c>
      <c r="AT6">
        <v>1.4</v>
      </c>
      <c r="AU6">
        <v>1.41</v>
      </c>
      <c r="AV6">
        <v>1.34</v>
      </c>
    </row>
    <row r="7" spans="1:48" x14ac:dyDescent="0.25">
      <c r="A7">
        <v>31</v>
      </c>
      <c r="B7">
        <v>24</v>
      </c>
      <c r="C7">
        <v>27</v>
      </c>
      <c r="D7">
        <v>28</v>
      </c>
      <c r="E7">
        <v>37</v>
      </c>
      <c r="F7">
        <v>21</v>
      </c>
      <c r="J7">
        <v>1.86</v>
      </c>
      <c r="K7">
        <v>1.49</v>
      </c>
      <c r="L7">
        <v>1.63</v>
      </c>
      <c r="M7">
        <v>1.78</v>
      </c>
      <c r="N7">
        <v>2.14</v>
      </c>
      <c r="O7">
        <v>1.21</v>
      </c>
      <c r="S7">
        <v>1.73</v>
      </c>
      <c r="T7">
        <v>2.04</v>
      </c>
      <c r="U7">
        <v>2.5299999999999998</v>
      </c>
      <c r="V7">
        <v>2.2599999999999998</v>
      </c>
      <c r="W7">
        <v>2.2799999999999998</v>
      </c>
      <c r="X7">
        <v>1.74</v>
      </c>
      <c r="AA7">
        <v>62</v>
      </c>
      <c r="AB7">
        <v>50</v>
      </c>
      <c r="AC7">
        <v>43</v>
      </c>
      <c r="AD7">
        <v>49</v>
      </c>
      <c r="AE7">
        <v>50</v>
      </c>
      <c r="AF7">
        <v>40</v>
      </c>
      <c r="AI7">
        <v>61</v>
      </c>
      <c r="AJ7">
        <v>52</v>
      </c>
      <c r="AK7">
        <v>45</v>
      </c>
      <c r="AL7">
        <v>50</v>
      </c>
      <c r="AM7">
        <v>51</v>
      </c>
      <c r="AN7">
        <v>40</v>
      </c>
      <c r="AQ7">
        <v>1.37</v>
      </c>
      <c r="AR7">
        <v>1.38</v>
      </c>
      <c r="AS7">
        <v>1.4</v>
      </c>
      <c r="AT7">
        <v>1.39</v>
      </c>
      <c r="AU7">
        <v>1.4</v>
      </c>
      <c r="AV7">
        <v>1.39</v>
      </c>
    </row>
    <row r="8" spans="1:48" x14ac:dyDescent="0.25">
      <c r="A8">
        <v>27</v>
      </c>
      <c r="B8">
        <v>25</v>
      </c>
      <c r="C8">
        <v>39</v>
      </c>
      <c r="D8">
        <v>27</v>
      </c>
      <c r="E8">
        <v>35</v>
      </c>
      <c r="F8">
        <v>33</v>
      </c>
      <c r="J8">
        <v>1.5</v>
      </c>
      <c r="K8">
        <v>1.48</v>
      </c>
      <c r="L8">
        <v>2.41</v>
      </c>
      <c r="M8">
        <v>1.75</v>
      </c>
      <c r="N8">
        <v>2.11</v>
      </c>
      <c r="O8">
        <v>1.96</v>
      </c>
      <c r="S8">
        <v>1.24</v>
      </c>
      <c r="T8">
        <v>2.21</v>
      </c>
      <c r="U8">
        <v>2.17</v>
      </c>
      <c r="V8">
        <v>2.31</v>
      </c>
      <c r="W8">
        <v>2.41</v>
      </c>
      <c r="X8">
        <v>2.62</v>
      </c>
      <c r="AA8">
        <v>61</v>
      </c>
      <c r="AB8">
        <v>51</v>
      </c>
      <c r="AC8">
        <v>51</v>
      </c>
      <c r="AD8">
        <v>46</v>
      </c>
      <c r="AE8">
        <v>47</v>
      </c>
      <c r="AF8">
        <v>52</v>
      </c>
      <c r="AI8">
        <v>62</v>
      </c>
      <c r="AJ8">
        <v>51</v>
      </c>
      <c r="AK8">
        <v>53</v>
      </c>
      <c r="AL8">
        <v>47</v>
      </c>
      <c r="AM8">
        <v>47</v>
      </c>
      <c r="AN8">
        <v>54</v>
      </c>
      <c r="AQ8">
        <v>1.35</v>
      </c>
      <c r="AR8">
        <v>1.38</v>
      </c>
      <c r="AS8">
        <v>1.4</v>
      </c>
      <c r="AT8">
        <v>1.41</v>
      </c>
      <c r="AU8">
        <v>1.41</v>
      </c>
      <c r="AV8">
        <v>1.41</v>
      </c>
    </row>
    <row r="9" spans="1:48" x14ac:dyDescent="0.25">
      <c r="A9">
        <v>50</v>
      </c>
      <c r="C9">
        <v>36</v>
      </c>
      <c r="D9">
        <v>30</v>
      </c>
      <c r="E9">
        <v>47</v>
      </c>
      <c r="J9">
        <v>2.89</v>
      </c>
      <c r="L9">
        <v>2.21</v>
      </c>
      <c r="M9">
        <v>1.71</v>
      </c>
      <c r="N9">
        <v>2.8</v>
      </c>
      <c r="S9">
        <v>2.78</v>
      </c>
      <c r="U9">
        <v>2.3199999999999998</v>
      </c>
      <c r="V9">
        <v>2.2000000000000002</v>
      </c>
      <c r="W9">
        <v>2.85</v>
      </c>
      <c r="AA9">
        <v>71</v>
      </c>
      <c r="AC9">
        <v>42</v>
      </c>
      <c r="AD9">
        <v>56</v>
      </c>
      <c r="AE9">
        <v>52</v>
      </c>
      <c r="AI9">
        <v>74</v>
      </c>
      <c r="AK9">
        <v>43</v>
      </c>
      <c r="AL9">
        <v>58</v>
      </c>
      <c r="AM9">
        <v>55</v>
      </c>
      <c r="AQ9">
        <v>1.41</v>
      </c>
      <c r="AS9">
        <v>1.41</v>
      </c>
      <c r="AT9">
        <v>1.4</v>
      </c>
      <c r="AU9">
        <v>1.42</v>
      </c>
    </row>
    <row r="10" spans="1:48" x14ac:dyDescent="0.25">
      <c r="A10">
        <v>35</v>
      </c>
      <c r="C10">
        <v>50</v>
      </c>
      <c r="D10">
        <v>40</v>
      </c>
      <c r="E10">
        <v>19</v>
      </c>
      <c r="J10">
        <v>2.0699999999999998</v>
      </c>
      <c r="L10">
        <v>2.83</v>
      </c>
      <c r="M10">
        <v>2.3199999999999998</v>
      </c>
      <c r="N10">
        <v>1.04</v>
      </c>
      <c r="S10">
        <v>2.67</v>
      </c>
      <c r="U10">
        <v>3.24</v>
      </c>
      <c r="V10">
        <v>3.22</v>
      </c>
      <c r="W10">
        <v>1.48</v>
      </c>
      <c r="AA10">
        <v>52</v>
      </c>
      <c r="AC10">
        <v>55</v>
      </c>
      <c r="AD10">
        <v>52</v>
      </c>
      <c r="AE10">
        <v>44</v>
      </c>
      <c r="AI10">
        <v>53</v>
      </c>
      <c r="AK10">
        <v>56</v>
      </c>
      <c r="AL10">
        <v>53</v>
      </c>
      <c r="AM10">
        <v>45</v>
      </c>
      <c r="AQ10">
        <v>1.41</v>
      </c>
      <c r="AS10">
        <v>1.42</v>
      </c>
      <c r="AT10">
        <v>1.43</v>
      </c>
      <c r="AU10">
        <v>1.37</v>
      </c>
    </row>
    <row r="11" spans="1:48" x14ac:dyDescent="0.25">
      <c r="C11">
        <v>44</v>
      </c>
      <c r="D11">
        <v>33.5</v>
      </c>
      <c r="E11">
        <v>64</v>
      </c>
      <c r="L11">
        <v>2.4700000000000002</v>
      </c>
      <c r="M11">
        <v>2.11</v>
      </c>
      <c r="N11">
        <v>3.46</v>
      </c>
      <c r="U11">
        <v>2.78</v>
      </c>
      <c r="V11">
        <v>2.42</v>
      </c>
      <c r="W11">
        <v>4.9400000000000004</v>
      </c>
      <c r="AC11">
        <v>60</v>
      </c>
      <c r="AD11">
        <v>47</v>
      </c>
      <c r="AE11">
        <v>53</v>
      </c>
      <c r="AK11">
        <v>63</v>
      </c>
      <c r="AL11">
        <v>48.5</v>
      </c>
      <c r="AM11">
        <v>55</v>
      </c>
      <c r="AS11">
        <v>1.4</v>
      </c>
      <c r="AT11">
        <v>1.42</v>
      </c>
      <c r="AU11">
        <v>1.46</v>
      </c>
    </row>
    <row r="12" spans="1:48" x14ac:dyDescent="0.25">
      <c r="C12">
        <v>45</v>
      </c>
      <c r="E12">
        <v>31</v>
      </c>
      <c r="L12">
        <v>2.5</v>
      </c>
      <c r="N12">
        <v>1.87</v>
      </c>
      <c r="U12">
        <v>2.77</v>
      </c>
      <c r="W12">
        <v>2.11</v>
      </c>
      <c r="AC12">
        <v>60</v>
      </c>
      <c r="AE12">
        <v>51</v>
      </c>
      <c r="AK12">
        <v>63</v>
      </c>
      <c r="AM12">
        <v>51</v>
      </c>
      <c r="AS12">
        <v>1.4</v>
      </c>
      <c r="AU12">
        <v>1.39</v>
      </c>
    </row>
    <row r="13" spans="1:48" x14ac:dyDescent="0.25">
      <c r="E13">
        <v>41</v>
      </c>
      <c r="N13">
        <v>2.52</v>
      </c>
      <c r="W13">
        <v>3.01</v>
      </c>
      <c r="AE13">
        <v>53</v>
      </c>
      <c r="AM13">
        <v>54</v>
      </c>
      <c r="AU13">
        <v>1.41</v>
      </c>
    </row>
    <row r="14" spans="1:48" x14ac:dyDescent="0.25">
      <c r="E14">
        <v>39</v>
      </c>
      <c r="N14">
        <v>2.23</v>
      </c>
      <c r="W14">
        <v>2.19</v>
      </c>
      <c r="AE14">
        <v>53</v>
      </c>
      <c r="AM14">
        <v>53</v>
      </c>
      <c r="AU14">
        <v>1.4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875B-5EEE-48EE-9C32-AF60574176D8}">
  <dimension ref="A1:AY14"/>
  <sheetViews>
    <sheetView topLeftCell="S1" workbookViewId="0">
      <selection activeCell="Y37" sqref="Y37"/>
    </sheetView>
  </sheetViews>
  <sheetFormatPr defaultRowHeight="15.75" x14ac:dyDescent="0.25"/>
  <cols>
    <col min="6" max="6" width="10.875" customWidth="1"/>
    <col min="24" max="24" width="11.125" customWidth="1"/>
    <col min="33" max="33" width="10.875" customWidth="1"/>
    <col min="51" max="51" width="11.625" customWidth="1"/>
  </cols>
  <sheetData>
    <row r="1" spans="1:51" x14ac:dyDescent="0.25">
      <c r="A1" t="s">
        <v>182</v>
      </c>
      <c r="B1" t="s">
        <v>120</v>
      </c>
      <c r="C1" t="s">
        <v>128</v>
      </c>
      <c r="D1" t="s">
        <v>140</v>
      </c>
      <c r="E1" t="s">
        <v>151</v>
      </c>
      <c r="F1" t="s">
        <v>184</v>
      </c>
      <c r="J1" t="s">
        <v>182</v>
      </c>
      <c r="K1" t="s">
        <v>120</v>
      </c>
      <c r="L1" t="s">
        <v>128</v>
      </c>
      <c r="M1" t="s">
        <v>140</v>
      </c>
      <c r="N1" t="s">
        <v>151</v>
      </c>
      <c r="O1" t="s">
        <v>184</v>
      </c>
      <c r="S1" t="s">
        <v>182</v>
      </c>
      <c r="T1" t="s">
        <v>120</v>
      </c>
      <c r="U1" t="s">
        <v>128</v>
      </c>
      <c r="V1" t="s">
        <v>140</v>
      </c>
      <c r="W1" t="s">
        <v>151</v>
      </c>
      <c r="X1" t="s">
        <v>184</v>
      </c>
      <c r="AB1" t="s">
        <v>182</v>
      </c>
      <c r="AC1" t="s">
        <v>120</v>
      </c>
      <c r="AD1" t="s">
        <v>128</v>
      </c>
      <c r="AE1" t="s">
        <v>140</v>
      </c>
      <c r="AF1" t="s">
        <v>151</v>
      </c>
      <c r="AG1" t="s">
        <v>184</v>
      </c>
      <c r="AK1" t="s">
        <v>182</v>
      </c>
      <c r="AL1" t="s">
        <v>120</v>
      </c>
      <c r="AM1" t="s">
        <v>128</v>
      </c>
      <c r="AN1" t="s">
        <v>140</v>
      </c>
      <c r="AO1" t="s">
        <v>151</v>
      </c>
      <c r="AP1" t="s">
        <v>184</v>
      </c>
      <c r="AT1" t="s">
        <v>182</v>
      </c>
      <c r="AU1" t="s">
        <v>120</v>
      </c>
      <c r="AV1" t="s">
        <v>128</v>
      </c>
      <c r="AW1" t="s">
        <v>140</v>
      </c>
      <c r="AX1" t="s">
        <v>151</v>
      </c>
      <c r="AY1" t="s">
        <v>184</v>
      </c>
    </row>
    <row r="2" spans="1:51" x14ac:dyDescent="0.25">
      <c r="A2">
        <v>17</v>
      </c>
      <c r="B2">
        <v>56</v>
      </c>
      <c r="C2">
        <v>55</v>
      </c>
      <c r="D2">
        <v>67</v>
      </c>
      <c r="E2">
        <v>57</v>
      </c>
      <c r="F2">
        <v>41</v>
      </c>
      <c r="J2">
        <v>2.33</v>
      </c>
      <c r="K2">
        <v>3.02</v>
      </c>
      <c r="L2">
        <v>3.04</v>
      </c>
      <c r="M2">
        <v>3.24</v>
      </c>
      <c r="N2">
        <v>2.93</v>
      </c>
      <c r="O2">
        <v>2.48</v>
      </c>
      <c r="S2">
        <v>2.4500000000000002</v>
      </c>
      <c r="T2">
        <v>2.95</v>
      </c>
      <c r="U2">
        <v>3.03</v>
      </c>
      <c r="V2">
        <v>4.25</v>
      </c>
      <c r="W2">
        <v>3.33</v>
      </c>
      <c r="X2">
        <v>3.53</v>
      </c>
      <c r="AB2">
        <v>70</v>
      </c>
      <c r="AC2">
        <v>73</v>
      </c>
      <c r="AD2">
        <v>73</v>
      </c>
      <c r="AE2">
        <v>79</v>
      </c>
      <c r="AF2">
        <v>82</v>
      </c>
      <c r="AG2">
        <v>47</v>
      </c>
      <c r="AK2">
        <v>73</v>
      </c>
      <c r="AL2">
        <v>75</v>
      </c>
      <c r="AM2">
        <v>76</v>
      </c>
      <c r="AN2">
        <v>83</v>
      </c>
      <c r="AO2">
        <v>86</v>
      </c>
      <c r="AP2">
        <v>48</v>
      </c>
      <c r="AT2">
        <v>1.39</v>
      </c>
      <c r="AU2">
        <v>1.43</v>
      </c>
      <c r="AV2">
        <v>1.42</v>
      </c>
      <c r="AW2">
        <v>1.44</v>
      </c>
      <c r="AX2">
        <v>1.41</v>
      </c>
      <c r="AY2">
        <v>1.45</v>
      </c>
    </row>
    <row r="3" spans="1:51" x14ac:dyDescent="0.25">
      <c r="A3">
        <v>60</v>
      </c>
      <c r="B3">
        <v>65</v>
      </c>
      <c r="C3">
        <v>54</v>
      </c>
      <c r="D3">
        <v>62</v>
      </c>
      <c r="E3">
        <v>29</v>
      </c>
      <c r="F3">
        <v>24</v>
      </c>
      <c r="J3">
        <v>3.33</v>
      </c>
      <c r="K3">
        <v>3.28</v>
      </c>
      <c r="L3">
        <v>3.29</v>
      </c>
      <c r="M3">
        <v>3.17</v>
      </c>
      <c r="N3">
        <v>1.99</v>
      </c>
      <c r="O3">
        <v>1.41</v>
      </c>
      <c r="S3">
        <v>3.6</v>
      </c>
      <c r="T3">
        <v>4.0599999999999996</v>
      </c>
      <c r="U3">
        <v>2.76</v>
      </c>
      <c r="V3">
        <v>4.12</v>
      </c>
      <c r="W3">
        <v>2.37</v>
      </c>
      <c r="X3">
        <v>2.4300000000000002</v>
      </c>
      <c r="AB3">
        <v>73</v>
      </c>
      <c r="AC3">
        <v>75</v>
      </c>
      <c r="AD3">
        <v>68</v>
      </c>
      <c r="AE3">
        <v>76</v>
      </c>
      <c r="AF3">
        <v>41</v>
      </c>
      <c r="AG3">
        <v>49</v>
      </c>
      <c r="AK3">
        <v>74</v>
      </c>
      <c r="AL3">
        <v>78</v>
      </c>
      <c r="AM3">
        <v>70</v>
      </c>
      <c r="AN3">
        <v>80</v>
      </c>
      <c r="AO3">
        <v>43</v>
      </c>
      <c r="AP3">
        <v>51</v>
      </c>
      <c r="AT3">
        <v>1.44</v>
      </c>
      <c r="AU3">
        <v>1.44</v>
      </c>
      <c r="AV3">
        <v>1.43</v>
      </c>
      <c r="AW3">
        <v>1.43</v>
      </c>
      <c r="AX3">
        <v>1.42</v>
      </c>
      <c r="AY3">
        <v>1.39</v>
      </c>
    </row>
    <row r="4" spans="1:51" x14ac:dyDescent="0.25">
      <c r="A4">
        <v>67</v>
      </c>
      <c r="B4">
        <v>58</v>
      </c>
      <c r="C4">
        <v>49</v>
      </c>
      <c r="D4">
        <v>55</v>
      </c>
      <c r="E4">
        <v>42</v>
      </c>
      <c r="F4">
        <v>42</v>
      </c>
      <c r="J4">
        <v>3.45</v>
      </c>
      <c r="K4">
        <v>3.04</v>
      </c>
      <c r="L4">
        <v>2.66</v>
      </c>
      <c r="M4">
        <v>3.03</v>
      </c>
      <c r="N4">
        <v>2.5</v>
      </c>
      <c r="O4">
        <v>2.44</v>
      </c>
      <c r="S4">
        <v>4.2300000000000004</v>
      </c>
      <c r="T4">
        <v>3.26</v>
      </c>
      <c r="U4">
        <v>4.24</v>
      </c>
      <c r="V4">
        <v>3.04</v>
      </c>
      <c r="W4">
        <v>3.48</v>
      </c>
      <c r="X4">
        <v>3.3</v>
      </c>
      <c r="AB4">
        <v>73</v>
      </c>
      <c r="AC4">
        <v>77</v>
      </c>
      <c r="AD4">
        <v>57</v>
      </c>
      <c r="AE4">
        <v>71</v>
      </c>
      <c r="AF4">
        <v>50</v>
      </c>
      <c r="AG4">
        <v>56</v>
      </c>
      <c r="AK4">
        <v>77</v>
      </c>
      <c r="AL4">
        <v>80</v>
      </c>
      <c r="AM4">
        <v>59</v>
      </c>
      <c r="AN4">
        <v>75</v>
      </c>
      <c r="AO4">
        <v>52</v>
      </c>
      <c r="AP4">
        <v>57</v>
      </c>
      <c r="AT4">
        <v>1.45</v>
      </c>
      <c r="AU4">
        <v>1.42</v>
      </c>
      <c r="AV4">
        <v>1.45</v>
      </c>
      <c r="AW4">
        <v>1.42</v>
      </c>
      <c r="AX4">
        <v>1.45</v>
      </c>
      <c r="AY4">
        <v>1.43</v>
      </c>
    </row>
    <row r="5" spans="1:51" x14ac:dyDescent="0.25">
      <c r="A5">
        <v>22</v>
      </c>
      <c r="B5">
        <v>51</v>
      </c>
      <c r="C5">
        <v>41</v>
      </c>
      <c r="D5">
        <v>50</v>
      </c>
      <c r="E5">
        <v>67</v>
      </c>
      <c r="F5">
        <v>42</v>
      </c>
      <c r="J5">
        <v>3.05</v>
      </c>
      <c r="K5">
        <v>2.81</v>
      </c>
      <c r="L5">
        <v>2.4300000000000002</v>
      </c>
      <c r="M5">
        <v>2.72</v>
      </c>
      <c r="N5">
        <v>3.33</v>
      </c>
      <c r="O5">
        <v>2.63</v>
      </c>
      <c r="S5">
        <v>3.44</v>
      </c>
      <c r="T5">
        <v>5.07</v>
      </c>
      <c r="U5">
        <v>3.73</v>
      </c>
      <c r="V5">
        <v>4.5599999999999996</v>
      </c>
      <c r="W5">
        <v>5.23</v>
      </c>
      <c r="X5">
        <v>3.2</v>
      </c>
      <c r="AB5">
        <v>78</v>
      </c>
      <c r="AC5">
        <v>56</v>
      </c>
      <c r="AD5">
        <v>50</v>
      </c>
      <c r="AE5">
        <v>56</v>
      </c>
      <c r="AF5">
        <v>59</v>
      </c>
      <c r="AG5">
        <v>46</v>
      </c>
      <c r="AK5">
        <v>81</v>
      </c>
      <c r="AL5">
        <v>58</v>
      </c>
      <c r="AM5">
        <v>53</v>
      </c>
      <c r="AN5">
        <v>58</v>
      </c>
      <c r="AO5">
        <v>61</v>
      </c>
      <c r="AP5">
        <v>47</v>
      </c>
      <c r="AT5">
        <v>1.42</v>
      </c>
      <c r="AU5">
        <v>1.47</v>
      </c>
      <c r="AV5">
        <v>1.44</v>
      </c>
      <c r="AW5">
        <v>1.46</v>
      </c>
      <c r="AX5">
        <v>1.45</v>
      </c>
      <c r="AY5">
        <v>1.45</v>
      </c>
    </row>
    <row r="6" spans="1:51" x14ac:dyDescent="0.25">
      <c r="A6">
        <v>68</v>
      </c>
      <c r="B6">
        <v>44</v>
      </c>
      <c r="C6">
        <v>42</v>
      </c>
      <c r="D6">
        <v>33</v>
      </c>
      <c r="E6">
        <v>62</v>
      </c>
      <c r="F6">
        <v>41</v>
      </c>
      <c r="J6">
        <v>3.36</v>
      </c>
      <c r="K6">
        <v>2.29</v>
      </c>
      <c r="L6">
        <v>2.31</v>
      </c>
      <c r="M6">
        <v>1.86</v>
      </c>
      <c r="N6">
        <v>3.43</v>
      </c>
      <c r="O6">
        <v>2.36</v>
      </c>
      <c r="S6">
        <v>4.72</v>
      </c>
      <c r="T6">
        <v>3.61</v>
      </c>
      <c r="U6">
        <v>3.49</v>
      </c>
      <c r="V6">
        <v>2.88</v>
      </c>
      <c r="W6">
        <v>4.78</v>
      </c>
      <c r="X6">
        <v>3.38</v>
      </c>
      <c r="AB6">
        <v>72</v>
      </c>
      <c r="AC6">
        <v>60</v>
      </c>
      <c r="AD6">
        <v>55</v>
      </c>
      <c r="AE6">
        <v>54</v>
      </c>
      <c r="AF6">
        <v>60</v>
      </c>
      <c r="AG6">
        <v>57</v>
      </c>
      <c r="AK6">
        <v>75</v>
      </c>
      <c r="AL6">
        <v>62</v>
      </c>
      <c r="AM6">
        <v>57</v>
      </c>
      <c r="AN6">
        <v>57</v>
      </c>
      <c r="AO6">
        <v>63</v>
      </c>
      <c r="AP6">
        <v>60</v>
      </c>
      <c r="AT6">
        <v>1.45</v>
      </c>
      <c r="AU6">
        <v>1.44</v>
      </c>
      <c r="AV6">
        <v>1.44</v>
      </c>
      <c r="AW6">
        <v>1.41</v>
      </c>
      <c r="AX6">
        <v>1.46</v>
      </c>
      <c r="AY6">
        <v>1.43</v>
      </c>
    </row>
    <row r="7" spans="1:51" x14ac:dyDescent="0.25">
      <c r="A7">
        <v>54</v>
      </c>
      <c r="B7">
        <v>36</v>
      </c>
      <c r="C7">
        <v>53</v>
      </c>
      <c r="D7">
        <v>45</v>
      </c>
      <c r="E7">
        <v>53</v>
      </c>
      <c r="F7">
        <v>36</v>
      </c>
      <c r="J7">
        <v>2.91</v>
      </c>
      <c r="K7">
        <v>2.2799999999999998</v>
      </c>
      <c r="L7">
        <v>2.6</v>
      </c>
      <c r="M7">
        <v>2.56</v>
      </c>
      <c r="N7">
        <v>3.15</v>
      </c>
      <c r="O7">
        <v>2.27</v>
      </c>
      <c r="S7">
        <v>3.23</v>
      </c>
      <c r="T7">
        <v>2.83</v>
      </c>
      <c r="U7">
        <v>5.59</v>
      </c>
      <c r="V7">
        <v>4.07</v>
      </c>
      <c r="W7">
        <v>3.28</v>
      </c>
      <c r="X7">
        <v>2.63</v>
      </c>
      <c r="AB7">
        <v>70</v>
      </c>
      <c r="AC7">
        <v>47</v>
      </c>
      <c r="AD7">
        <v>57</v>
      </c>
      <c r="AE7">
        <v>54</v>
      </c>
      <c r="AF7">
        <v>55</v>
      </c>
      <c r="AG7">
        <v>50</v>
      </c>
      <c r="AK7">
        <v>72</v>
      </c>
      <c r="AL7">
        <v>48</v>
      </c>
      <c r="AM7">
        <v>59</v>
      </c>
      <c r="AN7">
        <v>55</v>
      </c>
      <c r="AO7">
        <v>57</v>
      </c>
      <c r="AP7">
        <v>51</v>
      </c>
      <c r="AT7">
        <v>1.43</v>
      </c>
      <c r="AU7">
        <v>1.43</v>
      </c>
      <c r="AV7">
        <v>1.46</v>
      </c>
      <c r="AW7">
        <v>1.44</v>
      </c>
      <c r="AX7">
        <v>1.44</v>
      </c>
      <c r="AY7">
        <v>1.42</v>
      </c>
    </row>
    <row r="8" spans="1:51" x14ac:dyDescent="0.25">
      <c r="A8">
        <v>57</v>
      </c>
      <c r="B8">
        <v>39</v>
      </c>
      <c r="C8">
        <v>59</v>
      </c>
      <c r="D8">
        <v>49</v>
      </c>
      <c r="E8">
        <v>60</v>
      </c>
      <c r="F8">
        <v>50</v>
      </c>
      <c r="J8">
        <v>3.05</v>
      </c>
      <c r="K8">
        <v>2.2000000000000002</v>
      </c>
      <c r="L8">
        <v>3.21</v>
      </c>
      <c r="M8">
        <v>2.67</v>
      </c>
      <c r="N8">
        <v>3.31</v>
      </c>
      <c r="O8">
        <v>2.64</v>
      </c>
      <c r="S8">
        <v>3.17</v>
      </c>
      <c r="T8">
        <v>3.03</v>
      </c>
      <c r="U8">
        <v>3.88</v>
      </c>
      <c r="V8">
        <v>4.51</v>
      </c>
      <c r="W8">
        <v>4.42</v>
      </c>
      <c r="X8">
        <v>4.9000000000000004</v>
      </c>
      <c r="AB8">
        <v>74</v>
      </c>
      <c r="AC8">
        <v>54</v>
      </c>
      <c r="AD8">
        <v>58</v>
      </c>
      <c r="AE8">
        <v>55</v>
      </c>
      <c r="AF8">
        <v>58</v>
      </c>
      <c r="AG8">
        <v>55</v>
      </c>
      <c r="AK8">
        <v>77</v>
      </c>
      <c r="AL8">
        <v>55</v>
      </c>
      <c r="AM8">
        <v>60</v>
      </c>
      <c r="AN8">
        <v>57</v>
      </c>
      <c r="AO8">
        <v>59</v>
      </c>
      <c r="AP8">
        <v>57</v>
      </c>
      <c r="AT8">
        <v>1.42</v>
      </c>
      <c r="AU8">
        <v>1.43</v>
      </c>
      <c r="AV8">
        <v>1.44</v>
      </c>
      <c r="AW8">
        <v>1.46</v>
      </c>
      <c r="AX8">
        <v>1.45</v>
      </c>
      <c r="AY8">
        <v>1.46</v>
      </c>
    </row>
    <row r="9" spans="1:51" x14ac:dyDescent="0.25">
      <c r="A9">
        <v>68</v>
      </c>
      <c r="C9">
        <v>58</v>
      </c>
      <c r="D9">
        <v>52</v>
      </c>
      <c r="E9">
        <v>64</v>
      </c>
      <c r="J9">
        <v>3.35</v>
      </c>
      <c r="L9">
        <v>3.34</v>
      </c>
      <c r="M9">
        <v>2.5499999999999998</v>
      </c>
      <c r="N9">
        <v>3.41</v>
      </c>
      <c r="S9">
        <v>4.87</v>
      </c>
      <c r="U9">
        <v>3.84</v>
      </c>
      <c r="V9">
        <v>5.0599999999999996</v>
      </c>
      <c r="W9">
        <v>4.62</v>
      </c>
      <c r="AB9">
        <v>75</v>
      </c>
      <c r="AD9">
        <v>52</v>
      </c>
      <c r="AE9">
        <v>63</v>
      </c>
      <c r="AF9">
        <v>58</v>
      </c>
      <c r="AK9">
        <v>78</v>
      </c>
      <c r="AM9">
        <v>54</v>
      </c>
      <c r="AN9">
        <v>66</v>
      </c>
      <c r="AO9">
        <v>61</v>
      </c>
      <c r="AT9">
        <v>1.45</v>
      </c>
      <c r="AV9">
        <v>1.45</v>
      </c>
      <c r="AW9">
        <v>1.45</v>
      </c>
      <c r="AX9">
        <v>1.45</v>
      </c>
    </row>
    <row r="10" spans="1:51" x14ac:dyDescent="0.25">
      <c r="A10">
        <v>43</v>
      </c>
      <c r="C10">
        <v>63</v>
      </c>
      <c r="D10">
        <v>52</v>
      </c>
      <c r="E10">
        <v>35</v>
      </c>
      <c r="J10">
        <v>2.39</v>
      </c>
      <c r="L10">
        <v>3.26</v>
      </c>
      <c r="M10">
        <v>2.66</v>
      </c>
      <c r="N10">
        <v>2.41</v>
      </c>
      <c r="S10">
        <v>3.5</v>
      </c>
      <c r="U10">
        <v>5.36</v>
      </c>
      <c r="V10">
        <v>5.0999999999999996</v>
      </c>
      <c r="W10">
        <v>2.42</v>
      </c>
      <c r="AB10">
        <v>59</v>
      </c>
      <c r="AD10">
        <v>54</v>
      </c>
      <c r="AE10">
        <v>59</v>
      </c>
      <c r="AF10">
        <v>41</v>
      </c>
      <c r="AK10">
        <v>61</v>
      </c>
      <c r="AM10">
        <v>56</v>
      </c>
      <c r="AN10">
        <v>61</v>
      </c>
      <c r="AO10">
        <v>42</v>
      </c>
      <c r="AT10">
        <v>1.43</v>
      </c>
      <c r="AV10">
        <v>1.46</v>
      </c>
      <c r="AW10">
        <v>1.46</v>
      </c>
      <c r="AX10">
        <v>1.44</v>
      </c>
    </row>
    <row r="11" spans="1:51" x14ac:dyDescent="0.25">
      <c r="C11">
        <v>63</v>
      </c>
      <c r="D11">
        <v>44</v>
      </c>
      <c r="E11">
        <v>65</v>
      </c>
      <c r="L11">
        <v>3.3</v>
      </c>
      <c r="M11">
        <v>2.59</v>
      </c>
      <c r="N11">
        <v>3.44</v>
      </c>
      <c r="U11">
        <v>4.41</v>
      </c>
      <c r="V11">
        <v>3.55</v>
      </c>
      <c r="W11">
        <v>5.18</v>
      </c>
      <c r="AD11">
        <v>63</v>
      </c>
      <c r="AE11">
        <v>50</v>
      </c>
      <c r="AF11">
        <v>54</v>
      </c>
      <c r="AM11">
        <v>66</v>
      </c>
      <c r="AN11">
        <v>51</v>
      </c>
      <c r="AO11">
        <v>56</v>
      </c>
      <c r="AV11">
        <v>1.45</v>
      </c>
      <c r="AW11">
        <v>1.45</v>
      </c>
      <c r="AX11">
        <v>1.46</v>
      </c>
    </row>
    <row r="12" spans="1:51" x14ac:dyDescent="0.25">
      <c r="C12">
        <v>67</v>
      </c>
      <c r="E12">
        <v>50</v>
      </c>
      <c r="L12">
        <v>3.42</v>
      </c>
      <c r="N12">
        <v>3.07</v>
      </c>
      <c r="U12">
        <v>5.55</v>
      </c>
      <c r="W12">
        <v>3.95</v>
      </c>
      <c r="AD12">
        <v>57</v>
      </c>
      <c r="AF12">
        <v>46</v>
      </c>
      <c r="AM12">
        <v>60</v>
      </c>
      <c r="AO12">
        <v>45</v>
      </c>
      <c r="AV12">
        <v>1.46</v>
      </c>
      <c r="AX12">
        <v>1.48</v>
      </c>
    </row>
    <row r="13" spans="1:51" x14ac:dyDescent="0.25">
      <c r="E13">
        <v>68</v>
      </c>
      <c r="N13">
        <v>3.34</v>
      </c>
      <c r="W13">
        <v>5.47</v>
      </c>
      <c r="AF13">
        <v>58</v>
      </c>
      <c r="AO13">
        <v>60</v>
      </c>
      <c r="AX13">
        <v>1.46</v>
      </c>
    </row>
    <row r="14" spans="1:51" x14ac:dyDescent="0.25">
      <c r="E14">
        <v>67</v>
      </c>
      <c r="N14">
        <v>3.35</v>
      </c>
      <c r="W14">
        <v>5.15</v>
      </c>
      <c r="AF14">
        <v>63</v>
      </c>
      <c r="AO14">
        <v>66</v>
      </c>
      <c r="AX14">
        <v>1.45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EF723-5461-4D8B-ABBE-66DB13F3A90D}">
  <dimension ref="A1:AY14"/>
  <sheetViews>
    <sheetView topLeftCell="R1" workbookViewId="0">
      <selection activeCell="G55" sqref="G55"/>
    </sheetView>
  </sheetViews>
  <sheetFormatPr defaultRowHeight="15.75" x14ac:dyDescent="0.25"/>
  <cols>
    <col min="1" max="4" width="10.375" bestFit="1" customWidth="1"/>
    <col min="5" max="5" width="9.375" bestFit="1" customWidth="1"/>
    <col min="6" max="6" width="10.625" customWidth="1"/>
    <col min="10" max="12" width="10.375" bestFit="1" customWidth="1"/>
    <col min="13" max="13" width="9.375" bestFit="1" customWidth="1"/>
    <col min="14" max="14" width="10.375" bestFit="1" customWidth="1"/>
    <col min="15" max="15" width="11.125" customWidth="1"/>
    <col min="19" max="23" width="10.375" bestFit="1" customWidth="1"/>
    <col min="24" max="24" width="11.625" customWidth="1"/>
    <col min="28" max="31" width="9.375" bestFit="1" customWidth="1"/>
    <col min="32" max="32" width="10" bestFit="1" customWidth="1"/>
    <col min="33" max="33" width="9.375" bestFit="1" customWidth="1"/>
    <col min="37" max="40" width="9.375" bestFit="1" customWidth="1"/>
    <col min="41" max="41" width="10" bestFit="1" customWidth="1"/>
    <col min="42" max="42" width="11.625" customWidth="1"/>
    <col min="46" max="50" width="9" bestFit="1" customWidth="1"/>
    <col min="51" max="51" width="11.125" customWidth="1"/>
  </cols>
  <sheetData>
    <row r="1" spans="1:51" x14ac:dyDescent="0.25">
      <c r="A1" t="s">
        <v>182</v>
      </c>
      <c r="B1" t="s">
        <v>120</v>
      </c>
      <c r="C1" t="s">
        <v>128</v>
      </c>
      <c r="D1" t="s">
        <v>140</v>
      </c>
      <c r="E1" t="s">
        <v>151</v>
      </c>
      <c r="F1" t="s">
        <v>184</v>
      </c>
      <c r="J1" t="s">
        <v>182</v>
      </c>
      <c r="K1" t="s">
        <v>120</v>
      </c>
      <c r="L1" t="s">
        <v>128</v>
      </c>
      <c r="M1" t="s">
        <v>140</v>
      </c>
      <c r="N1" t="s">
        <v>151</v>
      </c>
      <c r="O1" t="s">
        <v>184</v>
      </c>
      <c r="S1" t="s">
        <v>182</v>
      </c>
      <c r="T1" t="s">
        <v>120</v>
      </c>
      <c r="U1" t="s">
        <v>128</v>
      </c>
      <c r="V1" t="s">
        <v>140</v>
      </c>
      <c r="W1" t="s">
        <v>151</v>
      </c>
      <c r="X1" t="s">
        <v>184</v>
      </c>
      <c r="AB1" t="s">
        <v>182</v>
      </c>
      <c r="AC1" t="s">
        <v>120</v>
      </c>
      <c r="AD1" t="s">
        <v>128</v>
      </c>
      <c r="AE1" t="s">
        <v>140</v>
      </c>
      <c r="AF1" t="s">
        <v>151</v>
      </c>
      <c r="AG1" t="s">
        <v>184</v>
      </c>
      <c r="AK1" t="s">
        <v>182</v>
      </c>
      <c r="AL1" t="s">
        <v>120</v>
      </c>
      <c r="AM1" t="s">
        <v>128</v>
      </c>
      <c r="AN1" t="s">
        <v>140</v>
      </c>
      <c r="AO1" t="s">
        <v>151</v>
      </c>
      <c r="AP1" t="s">
        <v>184</v>
      </c>
      <c r="AT1" t="s">
        <v>182</v>
      </c>
      <c r="AU1" t="s">
        <v>120</v>
      </c>
      <c r="AV1" t="s">
        <v>128</v>
      </c>
      <c r="AW1" t="s">
        <v>140</v>
      </c>
      <c r="AX1" t="s">
        <v>151</v>
      </c>
      <c r="AY1" t="s">
        <v>184</v>
      </c>
    </row>
    <row r="2" spans="1:51" x14ac:dyDescent="0.25">
      <c r="A2" s="62">
        <v>-22.727272727272727</v>
      </c>
      <c r="B2" s="62">
        <v>55.555555555555557</v>
      </c>
      <c r="C2" s="62">
        <v>34.146341463414636</v>
      </c>
      <c r="D2" s="62">
        <v>59.523809523809526</v>
      </c>
      <c r="E2" s="62">
        <v>16.326530612244898</v>
      </c>
      <c r="F2" s="62">
        <v>57.692307692307693</v>
      </c>
      <c r="G2" s="62"/>
      <c r="H2" s="62"/>
      <c r="I2" s="62"/>
      <c r="J2" s="62">
        <v>56.375838926174509</v>
      </c>
      <c r="K2" s="62">
        <v>39.814814814814802</v>
      </c>
      <c r="L2" s="62">
        <v>21.115537848605591</v>
      </c>
      <c r="M2" s="62">
        <v>21.804511278195491</v>
      </c>
      <c r="N2" s="62">
        <v>6.9343065693430628</v>
      </c>
      <c r="O2" s="62">
        <v>64.238410596026483</v>
      </c>
      <c r="P2" s="62"/>
      <c r="Q2" s="62"/>
      <c r="R2" s="62"/>
      <c r="S2" s="62">
        <v>72.535211267605661</v>
      </c>
      <c r="T2" s="62">
        <v>43.902439024390262</v>
      </c>
      <c r="U2" s="62">
        <v>40.930232558139529</v>
      </c>
      <c r="V2" s="62">
        <v>88.05309734513277</v>
      </c>
      <c r="W2" s="62">
        <v>24.719101123595511</v>
      </c>
      <c r="X2" s="62">
        <v>113.93939393939395</v>
      </c>
      <c r="Y2" s="62"/>
      <c r="Z2" s="62"/>
      <c r="AA2" s="62"/>
      <c r="AB2" s="62">
        <v>12.903225806451612</v>
      </c>
      <c r="AC2" s="62">
        <v>7.3529411764705879</v>
      </c>
      <c r="AD2" s="62">
        <v>7.3529411764705879</v>
      </c>
      <c r="AE2" s="62">
        <v>19.696969696969695</v>
      </c>
      <c r="AF2" s="62">
        <v>10.810810810810811</v>
      </c>
      <c r="AG2" s="62">
        <v>14.634146341463415</v>
      </c>
      <c r="AH2" s="62"/>
      <c r="AI2" s="62"/>
      <c r="AJ2" s="62"/>
      <c r="AK2" s="62">
        <v>15.873015873015873</v>
      </c>
      <c r="AL2" s="62">
        <v>8.695652173913043</v>
      </c>
      <c r="AM2" s="62">
        <v>10.144927536231885</v>
      </c>
      <c r="AN2" s="62">
        <v>22.058823529411764</v>
      </c>
      <c r="AO2" s="62">
        <v>11.688311688311689</v>
      </c>
      <c r="AP2" s="62">
        <v>14.285714285714286</v>
      </c>
      <c r="AQ2" s="62"/>
      <c r="AR2" s="62"/>
      <c r="AS2" s="62"/>
      <c r="AT2" s="62">
        <v>3.7313432835820759</v>
      </c>
      <c r="AU2" s="62">
        <v>4.379562043795608</v>
      </c>
      <c r="AV2" s="62">
        <v>2.1582733812949662</v>
      </c>
      <c r="AW2" s="62">
        <v>3.5971223021582768</v>
      </c>
      <c r="AX2" s="62">
        <v>0</v>
      </c>
      <c r="AY2" s="62">
        <v>3.5714285714285747</v>
      </c>
    </row>
    <row r="3" spans="1:51" x14ac:dyDescent="0.25">
      <c r="A3" s="62">
        <v>25</v>
      </c>
      <c r="B3" s="62">
        <v>66.666666666666671</v>
      </c>
      <c r="C3" s="62">
        <v>170</v>
      </c>
      <c r="D3" s="62">
        <v>113.79310344827586</v>
      </c>
      <c r="E3" s="62">
        <v>-3.3333333333333335</v>
      </c>
      <c r="F3" s="62">
        <v>-17.241379310344829</v>
      </c>
      <c r="G3" s="62"/>
      <c r="H3" s="62"/>
      <c r="I3" s="62"/>
      <c r="J3" s="62">
        <v>30.588235294117659</v>
      </c>
      <c r="K3" s="62">
        <v>36.666666666666664</v>
      </c>
      <c r="L3" s="62">
        <v>191.15044247787611</v>
      </c>
      <c r="M3" s="62">
        <v>76.111111111111114</v>
      </c>
      <c r="N3" s="62">
        <v>6.4171122994652343</v>
      </c>
      <c r="O3" s="62">
        <v>-22.099447513812162</v>
      </c>
      <c r="P3" s="62"/>
      <c r="Q3" s="62"/>
      <c r="R3" s="62"/>
      <c r="S3" s="62">
        <v>27.659574468085118</v>
      </c>
      <c r="T3" s="62">
        <v>92.417061611374393</v>
      </c>
      <c r="U3" s="62">
        <v>142.10526315789474</v>
      </c>
      <c r="V3" s="62">
        <v>155.9006211180124</v>
      </c>
      <c r="W3" s="62">
        <v>8.7155963302752255</v>
      </c>
      <c r="X3" s="62">
        <v>5.8823529411764808</v>
      </c>
      <c r="Y3" s="62"/>
      <c r="Z3" s="62"/>
      <c r="AA3" s="62"/>
      <c r="AB3" s="62">
        <v>7.3529411764705879</v>
      </c>
      <c r="AC3" s="62">
        <v>17.1875</v>
      </c>
      <c r="AD3" s="62">
        <v>21.428571428571427</v>
      </c>
      <c r="AE3" s="62">
        <v>22.580645161290324</v>
      </c>
      <c r="AF3" s="62">
        <v>-14.583333333333334</v>
      </c>
      <c r="AG3" s="62">
        <v>4.2553191489361701</v>
      </c>
      <c r="AH3" s="62"/>
      <c r="AI3" s="62"/>
      <c r="AJ3" s="62"/>
      <c r="AK3" s="62">
        <v>5.7142857142857144</v>
      </c>
      <c r="AL3" s="62">
        <v>20</v>
      </c>
      <c r="AM3" s="62">
        <v>25</v>
      </c>
      <c r="AN3" s="62">
        <v>26.984126984126984</v>
      </c>
      <c r="AO3" s="62">
        <v>-10.416666666666666</v>
      </c>
      <c r="AP3" s="62">
        <v>5.1546391752577323</v>
      </c>
      <c r="AQ3" s="62"/>
      <c r="AR3" s="62"/>
      <c r="AS3" s="62"/>
      <c r="AT3" s="62">
        <v>2.1276595744680873</v>
      </c>
      <c r="AU3" s="62">
        <v>3.5971223021582768</v>
      </c>
      <c r="AV3" s="62">
        <v>7.5187969924811915</v>
      </c>
      <c r="AW3" s="62">
        <v>5.1470588235293997</v>
      </c>
      <c r="AX3" s="62">
        <v>1.4285714285714299</v>
      </c>
      <c r="AY3" s="62">
        <v>-0.71428571428571497</v>
      </c>
    </row>
    <row r="4" spans="1:51" x14ac:dyDescent="0.25">
      <c r="A4" s="62">
        <v>42.553191489361701</v>
      </c>
      <c r="B4" s="62">
        <v>152.17391304347825</v>
      </c>
      <c r="C4" s="62">
        <v>81.481481481481481</v>
      </c>
      <c r="D4" s="62">
        <v>52.777777777777779</v>
      </c>
      <c r="E4" s="62">
        <v>82.608695652173907</v>
      </c>
      <c r="F4" s="62">
        <v>75</v>
      </c>
      <c r="G4" s="62"/>
      <c r="H4" s="62"/>
      <c r="I4" s="62"/>
      <c r="J4" s="62">
        <v>33.204633204633218</v>
      </c>
      <c r="K4" s="62">
        <v>137.5</v>
      </c>
      <c r="L4" s="62">
        <v>66.25</v>
      </c>
      <c r="M4" s="62">
        <v>33.480176211453731</v>
      </c>
      <c r="N4" s="62">
        <v>83.823529411764696</v>
      </c>
      <c r="O4" s="62">
        <v>74.285714285714292</v>
      </c>
      <c r="P4" s="62"/>
      <c r="Q4" s="62"/>
      <c r="R4" s="62"/>
      <c r="S4" s="62">
        <v>57.835820895522396</v>
      </c>
      <c r="T4" s="62">
        <v>196.36363636363632</v>
      </c>
      <c r="U4" s="62">
        <v>106.82926829268295</v>
      </c>
      <c r="V4" s="62">
        <v>52.763819095477388</v>
      </c>
      <c r="W4" s="62">
        <v>74</v>
      </c>
      <c r="X4" s="62">
        <v>41.630901287553634</v>
      </c>
      <c r="Y4" s="62"/>
      <c r="Z4" s="62"/>
      <c r="AA4" s="62"/>
      <c r="AB4" s="62">
        <v>4.2857142857142856</v>
      </c>
      <c r="AC4" s="62">
        <v>20.3125</v>
      </c>
      <c r="AD4" s="62">
        <v>18.75</v>
      </c>
      <c r="AE4" s="62">
        <v>4.4117647058823533</v>
      </c>
      <c r="AF4" s="62">
        <v>19.047619047619047</v>
      </c>
      <c r="AG4" s="62">
        <v>14.285714285714286</v>
      </c>
      <c r="AH4" s="62"/>
      <c r="AI4" s="62"/>
      <c r="AJ4" s="62"/>
      <c r="AK4" s="62">
        <v>6.9444444444444446</v>
      </c>
      <c r="AL4" s="62">
        <v>21.212121212121211</v>
      </c>
      <c r="AM4" s="62">
        <v>22.916666666666668</v>
      </c>
      <c r="AN4" s="62">
        <v>7.1428571428571432</v>
      </c>
      <c r="AO4" s="62">
        <v>20.930232558139537</v>
      </c>
      <c r="AP4" s="62">
        <v>16.326530612244898</v>
      </c>
      <c r="AQ4" s="62"/>
      <c r="AR4" s="62"/>
      <c r="AS4" s="62"/>
      <c r="AT4" s="62">
        <v>2.8368794326241162</v>
      </c>
      <c r="AU4" s="62">
        <v>7.5757575757575646</v>
      </c>
      <c r="AV4" s="62">
        <v>3.5714285714285747</v>
      </c>
      <c r="AW4" s="62">
        <v>3.649635036496337</v>
      </c>
      <c r="AX4" s="62">
        <v>4.3165467625899323</v>
      </c>
      <c r="AY4" s="62">
        <v>3.6231884057971051</v>
      </c>
    </row>
    <row r="5" spans="1:51" x14ac:dyDescent="0.25">
      <c r="A5" s="62">
        <v>-18.518518518518519</v>
      </c>
      <c r="B5" s="62">
        <v>24.390243902439025</v>
      </c>
      <c r="C5" s="62">
        <v>95.238095238095241</v>
      </c>
      <c r="D5" s="62">
        <v>16.279069767441861</v>
      </c>
      <c r="E5" s="62">
        <v>97.058823529411768</v>
      </c>
      <c r="F5" s="62">
        <v>82.608695652173907</v>
      </c>
      <c r="G5" s="62"/>
      <c r="H5" s="62"/>
      <c r="I5" s="62"/>
      <c r="J5" s="62">
        <v>36.771300448430488</v>
      </c>
      <c r="K5" s="62">
        <v>18.565400843881854</v>
      </c>
      <c r="L5" s="62">
        <v>102.49999999999999</v>
      </c>
      <c r="M5" s="62">
        <v>10.569105691056919</v>
      </c>
      <c r="N5" s="62">
        <v>51.363636363636353</v>
      </c>
      <c r="O5" s="62">
        <v>89.208633093525179</v>
      </c>
      <c r="P5" s="62"/>
      <c r="Q5" s="62"/>
      <c r="R5" s="62"/>
      <c r="S5" s="62">
        <v>77.319587628865975</v>
      </c>
      <c r="T5" s="62">
        <v>48.245614035087726</v>
      </c>
      <c r="U5" s="62">
        <v>106.07734806629834</v>
      </c>
      <c r="V5" s="62">
        <v>21.925133689839555</v>
      </c>
      <c r="W5" s="62">
        <v>135.58558558558556</v>
      </c>
      <c r="X5" s="62">
        <v>48.837209302325597</v>
      </c>
      <c r="Y5" s="62"/>
      <c r="Z5" s="62"/>
      <c r="AA5" s="62"/>
      <c r="AB5" s="62">
        <v>16.417910447761194</v>
      </c>
      <c r="AC5" s="62">
        <v>3.7037037037037037</v>
      </c>
      <c r="AD5" s="62">
        <v>6.3829787234042552</v>
      </c>
      <c r="AE5" s="62">
        <v>5.6603773584905657</v>
      </c>
      <c r="AF5" s="62">
        <v>37.209302325581397</v>
      </c>
      <c r="AG5" s="62">
        <v>0</v>
      </c>
      <c r="AH5" s="62"/>
      <c r="AI5" s="62"/>
      <c r="AJ5" s="62"/>
      <c r="AK5" s="62">
        <v>17.391304347826086</v>
      </c>
      <c r="AL5" s="62">
        <v>1.7543859649122806</v>
      </c>
      <c r="AM5" s="62">
        <v>11.578947368421053</v>
      </c>
      <c r="AN5" s="62">
        <v>5.4545454545454541</v>
      </c>
      <c r="AO5" s="62">
        <v>38.636363636363633</v>
      </c>
      <c r="AP5" s="62">
        <v>2.1739130434782608</v>
      </c>
      <c r="AQ5" s="62"/>
      <c r="AR5" s="62"/>
      <c r="AS5" s="62"/>
      <c r="AT5" s="62">
        <v>3.649635036496337</v>
      </c>
      <c r="AU5" s="62">
        <v>2.7972027972027997</v>
      </c>
      <c r="AV5" s="62">
        <v>5.1094890510948785</v>
      </c>
      <c r="AW5" s="62">
        <v>1.3888888888888902</v>
      </c>
      <c r="AX5" s="62">
        <v>2.8368794326241162</v>
      </c>
      <c r="AY5" s="62">
        <v>5.0724637681159468</v>
      </c>
    </row>
    <row r="6" spans="1:51" x14ac:dyDescent="0.25">
      <c r="A6" s="62">
        <v>106.06060606060606</v>
      </c>
      <c r="B6" s="62">
        <v>-15.384615384615385</v>
      </c>
      <c r="C6" s="62">
        <v>55.555555555555557</v>
      </c>
      <c r="D6" s="62">
        <v>32</v>
      </c>
      <c r="E6" s="62">
        <v>37.777777777777779</v>
      </c>
      <c r="F6" s="62">
        <v>141.1764705882353</v>
      </c>
      <c r="G6" s="62"/>
      <c r="H6" s="62"/>
      <c r="I6" s="62"/>
      <c r="J6" s="62">
        <v>63.902439024390247</v>
      </c>
      <c r="K6" s="62">
        <v>-16.117216117216113</v>
      </c>
      <c r="L6" s="62">
        <v>37.500000000000007</v>
      </c>
      <c r="M6" s="62">
        <v>30.985915492957758</v>
      </c>
      <c r="N6" s="62">
        <v>30.418250950570354</v>
      </c>
      <c r="O6" s="62">
        <v>145.83333333333334</v>
      </c>
      <c r="P6" s="62"/>
      <c r="Q6" s="62"/>
      <c r="R6" s="62"/>
      <c r="S6" s="62">
        <v>159.3406593406593</v>
      </c>
      <c r="T6" s="62">
        <v>-29.902912621359231</v>
      </c>
      <c r="U6" s="62">
        <v>60.829493087557616</v>
      </c>
      <c r="V6" s="62">
        <v>60.893854748603346</v>
      </c>
      <c r="W6" s="62">
        <v>61.486486486486498</v>
      </c>
      <c r="X6" s="62">
        <v>133.10344827586206</v>
      </c>
      <c r="Y6" s="62"/>
      <c r="Z6" s="62"/>
      <c r="AA6" s="62"/>
      <c r="AB6" s="62">
        <v>22.033898305084747</v>
      </c>
      <c r="AC6" s="62">
        <v>7.1428571428571432</v>
      </c>
      <c r="AD6" s="62">
        <v>30.952380952380953</v>
      </c>
      <c r="AE6" s="62">
        <v>28.571428571428573</v>
      </c>
      <c r="AF6" s="62">
        <v>9.0909090909090917</v>
      </c>
      <c r="AG6" s="62">
        <v>18.75</v>
      </c>
      <c r="AH6" s="62"/>
      <c r="AI6" s="62"/>
      <c r="AJ6" s="62"/>
      <c r="AK6" s="62">
        <v>27.118644067796609</v>
      </c>
      <c r="AL6" s="62">
        <v>6.8965517241379306</v>
      </c>
      <c r="AM6" s="62">
        <v>32.558139534883722</v>
      </c>
      <c r="AN6" s="62">
        <v>32.558139534883722</v>
      </c>
      <c r="AO6" s="62">
        <v>10.526315789473685</v>
      </c>
      <c r="AP6" s="62">
        <v>25</v>
      </c>
      <c r="AQ6" s="62"/>
      <c r="AR6" s="62"/>
      <c r="AS6" s="62"/>
      <c r="AT6" s="62">
        <v>4.3165467625899323</v>
      </c>
      <c r="AU6" s="62">
        <v>-1.3698630136986314</v>
      </c>
      <c r="AV6" s="62">
        <v>2.8571428571428599</v>
      </c>
      <c r="AW6" s="62">
        <v>0.71428571428571497</v>
      </c>
      <c r="AX6" s="62">
        <v>3.5460992907801452</v>
      </c>
      <c r="AY6" s="62">
        <v>6.7164179104477499</v>
      </c>
    </row>
    <row r="7" spans="1:51" x14ac:dyDescent="0.25">
      <c r="A7" s="62">
        <v>74.193548387096769</v>
      </c>
      <c r="B7" s="62">
        <v>50</v>
      </c>
      <c r="C7" s="62">
        <v>96.296296296296291</v>
      </c>
      <c r="D7" s="62">
        <v>60.714285714285715</v>
      </c>
      <c r="E7" s="62">
        <v>43.243243243243242</v>
      </c>
      <c r="F7" s="62">
        <v>71.428571428571431</v>
      </c>
      <c r="G7" s="62"/>
      <c r="H7" s="62"/>
      <c r="I7" s="62"/>
      <c r="J7" s="62">
        <v>56.451612903225801</v>
      </c>
      <c r="K7" s="62">
        <v>53.020134228187914</v>
      </c>
      <c r="L7" s="62">
        <v>59.50920245398774</v>
      </c>
      <c r="M7" s="62">
        <v>43.82022471910112</v>
      </c>
      <c r="N7" s="62">
        <v>47.196261682242977</v>
      </c>
      <c r="O7" s="62">
        <v>87.603305785123965</v>
      </c>
      <c r="P7" s="62"/>
      <c r="Q7" s="62"/>
      <c r="R7" s="62"/>
      <c r="S7" s="62">
        <v>86.705202312138724</v>
      </c>
      <c r="T7" s="62">
        <v>38.725490196078432</v>
      </c>
      <c r="U7" s="62">
        <v>120.94861660079053</v>
      </c>
      <c r="V7" s="62">
        <v>80.088495575221273</v>
      </c>
      <c r="W7" s="62">
        <v>43.859649122807021</v>
      </c>
      <c r="X7" s="62">
        <v>51.149425287356316</v>
      </c>
      <c r="Y7" s="62"/>
      <c r="Z7" s="62"/>
      <c r="AA7" s="62"/>
      <c r="AB7" s="62">
        <v>12.903225806451612</v>
      </c>
      <c r="AC7" s="62">
        <v>-6</v>
      </c>
      <c r="AD7" s="62">
        <v>32.558139534883722</v>
      </c>
      <c r="AE7" s="62">
        <v>10.204081632653061</v>
      </c>
      <c r="AF7" s="62">
        <v>10</v>
      </c>
      <c r="AG7" s="62">
        <v>25</v>
      </c>
      <c r="AH7" s="62"/>
      <c r="AI7" s="62"/>
      <c r="AJ7" s="62"/>
      <c r="AK7" s="62">
        <v>18.032786885245901</v>
      </c>
      <c r="AL7" s="62">
        <v>-7.6923076923076925</v>
      </c>
      <c r="AM7" s="62">
        <v>31.111111111111111</v>
      </c>
      <c r="AN7" s="62">
        <v>10</v>
      </c>
      <c r="AO7" s="62">
        <v>11.764705882352942</v>
      </c>
      <c r="AP7" s="62">
        <v>27.5</v>
      </c>
      <c r="AQ7" s="62"/>
      <c r="AR7" s="62"/>
      <c r="AS7" s="62"/>
      <c r="AT7" s="62">
        <v>4.379562043795608</v>
      </c>
      <c r="AU7" s="62">
        <v>3.6231884057971051</v>
      </c>
      <c r="AV7" s="62">
        <v>4.28571428571429</v>
      </c>
      <c r="AW7" s="62">
        <v>3.5971223021582768</v>
      </c>
      <c r="AX7" s="62">
        <v>2.8571428571428599</v>
      </c>
      <c r="AY7" s="62">
        <v>2.1582733812949662</v>
      </c>
    </row>
    <row r="8" spans="1:51" x14ac:dyDescent="0.25">
      <c r="A8" s="62">
        <v>111.11111111111111</v>
      </c>
      <c r="B8" s="62">
        <v>56</v>
      </c>
      <c r="C8" s="62">
        <v>51.282051282051285</v>
      </c>
      <c r="D8" s="62">
        <v>81.481481481481481</v>
      </c>
      <c r="E8" s="62">
        <v>71.428571428571431</v>
      </c>
      <c r="F8" s="62">
        <v>51.515151515151516</v>
      </c>
      <c r="G8" s="62"/>
      <c r="H8" s="62"/>
      <c r="I8" s="62"/>
      <c r="J8" s="62">
        <v>103.33333333333331</v>
      </c>
      <c r="K8" s="62">
        <v>48.64864864864866</v>
      </c>
      <c r="L8" s="62">
        <v>33.195020746887955</v>
      </c>
      <c r="M8" s="62">
        <v>52.571428571428569</v>
      </c>
      <c r="N8" s="62">
        <v>56.872037914691951</v>
      </c>
      <c r="O8" s="62">
        <v>34.693877551020414</v>
      </c>
      <c r="P8" s="62"/>
      <c r="Q8" s="62"/>
      <c r="R8" s="62"/>
      <c r="S8" s="62">
        <v>155.64516129032259</v>
      </c>
      <c r="T8" s="62">
        <v>37.104072398190041</v>
      </c>
      <c r="U8" s="62">
        <v>78.801843317972356</v>
      </c>
      <c r="V8" s="62">
        <v>95.238095238095227</v>
      </c>
      <c r="W8" s="62">
        <v>83.402489626556005</v>
      </c>
      <c r="X8" s="62">
        <v>87.022900763358791</v>
      </c>
      <c r="Y8" s="62"/>
      <c r="Z8" s="62"/>
      <c r="AA8" s="62"/>
      <c r="AB8" s="62">
        <v>21.311475409836067</v>
      </c>
      <c r="AC8" s="62">
        <v>5.882352941176471</v>
      </c>
      <c r="AD8" s="62">
        <v>13.725490196078431</v>
      </c>
      <c r="AE8" s="62">
        <v>19.565217391304348</v>
      </c>
      <c r="AF8" s="62">
        <v>23.404255319148938</v>
      </c>
      <c r="AG8" s="62">
        <v>5.7692307692307692</v>
      </c>
      <c r="AH8" s="62"/>
      <c r="AI8" s="62"/>
      <c r="AJ8" s="62"/>
      <c r="AK8" s="62">
        <v>24.193548387096776</v>
      </c>
      <c r="AL8" s="62">
        <v>7.8431372549019605</v>
      </c>
      <c r="AM8" s="62">
        <v>13.20754716981132</v>
      </c>
      <c r="AN8" s="62">
        <v>21.276595744680851</v>
      </c>
      <c r="AO8" s="62">
        <v>25.531914893617021</v>
      </c>
      <c r="AP8" s="62">
        <v>5.5555555555555554</v>
      </c>
      <c r="AQ8" s="62"/>
      <c r="AR8" s="62"/>
      <c r="AS8" s="62"/>
      <c r="AT8" s="62">
        <v>5.1851851851851727</v>
      </c>
      <c r="AU8" s="62">
        <v>3.6231884057971051</v>
      </c>
      <c r="AV8" s="62">
        <v>2.8571428571428599</v>
      </c>
      <c r="AW8" s="62">
        <v>3.5460992907801452</v>
      </c>
      <c r="AX8" s="62">
        <v>2.8368794326241162</v>
      </c>
      <c r="AY8" s="62">
        <v>3.5460992907801452</v>
      </c>
    </row>
    <row r="9" spans="1:51" x14ac:dyDescent="0.25">
      <c r="A9" s="62">
        <v>36</v>
      </c>
      <c r="B9" s="62"/>
      <c r="C9" s="62">
        <v>61.111111111111114</v>
      </c>
      <c r="D9" s="62">
        <v>73.333333333333329</v>
      </c>
      <c r="E9" s="62">
        <v>36.170212765957444</v>
      </c>
      <c r="F9" s="62"/>
      <c r="G9" s="62"/>
      <c r="H9" s="62"/>
      <c r="I9" s="62"/>
      <c r="J9" s="62">
        <v>15.916955017301037</v>
      </c>
      <c r="K9" s="62"/>
      <c r="L9" s="62">
        <v>51.13122171945701</v>
      </c>
      <c r="M9" s="62">
        <v>49.122807017543849</v>
      </c>
      <c r="N9" s="62">
        <v>21.785714285714299</v>
      </c>
      <c r="O9" s="62"/>
      <c r="P9" s="62"/>
      <c r="Q9" s="62"/>
      <c r="R9" s="62"/>
      <c r="S9" s="62">
        <v>75.179856115107924</v>
      </c>
      <c r="T9" s="62"/>
      <c r="U9" s="62">
        <v>65.517241379310349</v>
      </c>
      <c r="V9" s="62">
        <v>129.99999999999997</v>
      </c>
      <c r="W9" s="62">
        <v>62.105263157894733</v>
      </c>
      <c r="X9" s="62"/>
      <c r="Y9" s="62"/>
      <c r="Z9" s="62"/>
      <c r="AA9" s="62"/>
      <c r="AB9" s="62">
        <v>5.6338028169014081</v>
      </c>
      <c r="AC9" s="62"/>
      <c r="AD9" s="62">
        <v>23.80952380952381</v>
      </c>
      <c r="AE9" s="62">
        <v>12.5</v>
      </c>
      <c r="AF9" s="62">
        <v>11.538461538461538</v>
      </c>
      <c r="AG9" s="62"/>
      <c r="AH9" s="62"/>
      <c r="AI9" s="62"/>
      <c r="AJ9" s="62"/>
      <c r="AK9" s="62">
        <v>5.4054054054054053</v>
      </c>
      <c r="AL9" s="62"/>
      <c r="AM9" s="62">
        <v>25.581395348837209</v>
      </c>
      <c r="AN9" s="62">
        <v>13.793103448275861</v>
      </c>
      <c r="AO9" s="62">
        <v>10.909090909090908</v>
      </c>
      <c r="AP9" s="62"/>
      <c r="AQ9" s="62"/>
      <c r="AR9" s="62"/>
      <c r="AS9" s="62"/>
      <c r="AT9" s="62">
        <v>2.8368794326241162</v>
      </c>
      <c r="AU9" s="62"/>
      <c r="AV9" s="62">
        <v>2.8368794326241162</v>
      </c>
      <c r="AW9" s="62">
        <v>3.5714285714285747</v>
      </c>
      <c r="AX9" s="62">
        <v>2.1126760563380302</v>
      </c>
      <c r="AY9" s="62"/>
    </row>
    <row r="10" spans="1:51" x14ac:dyDescent="0.25">
      <c r="A10" s="62">
        <v>22.857142857142858</v>
      </c>
      <c r="B10" s="62"/>
      <c r="C10" s="62">
        <v>26</v>
      </c>
      <c r="D10" s="62">
        <v>30</v>
      </c>
      <c r="E10" s="62">
        <v>84.21052631578948</v>
      </c>
      <c r="F10" s="62"/>
      <c r="G10" s="62"/>
      <c r="H10" s="62"/>
      <c r="I10" s="62"/>
      <c r="J10" s="62">
        <v>15.458937198067648</v>
      </c>
      <c r="K10" s="62"/>
      <c r="L10" s="62">
        <v>15.194346289752639</v>
      </c>
      <c r="M10" s="62">
        <v>14.655172413793117</v>
      </c>
      <c r="N10" s="62">
        <v>131.73076923076923</v>
      </c>
      <c r="O10" s="62"/>
      <c r="P10" s="62"/>
      <c r="Q10" s="62"/>
      <c r="R10" s="62"/>
      <c r="S10" s="62">
        <v>31.08614232209738</v>
      </c>
      <c r="T10" s="62"/>
      <c r="U10" s="62">
        <v>65.432098765432087</v>
      </c>
      <c r="V10" s="62">
        <v>58.385093167701839</v>
      </c>
      <c r="W10" s="62">
        <v>63.513513513513516</v>
      </c>
      <c r="X10" s="62"/>
      <c r="Y10" s="62"/>
      <c r="Z10" s="62"/>
      <c r="AA10" s="62"/>
      <c r="AB10" s="62">
        <v>13.461538461538462</v>
      </c>
      <c r="AC10" s="62"/>
      <c r="AD10" s="62">
        <v>-1.8181818181818181</v>
      </c>
      <c r="AE10" s="62">
        <v>13.461538461538462</v>
      </c>
      <c r="AF10" s="62">
        <v>-6.8181818181818183</v>
      </c>
      <c r="AG10" s="62"/>
      <c r="AH10" s="62"/>
      <c r="AI10" s="62"/>
      <c r="AJ10" s="62"/>
      <c r="AK10" s="62">
        <v>15.09433962264151</v>
      </c>
      <c r="AL10" s="62"/>
      <c r="AM10" s="62">
        <v>0</v>
      </c>
      <c r="AN10" s="62">
        <v>15.09433962264151</v>
      </c>
      <c r="AO10" s="62">
        <v>-6.666666666666667</v>
      </c>
      <c r="AP10" s="62"/>
      <c r="AQ10" s="62"/>
      <c r="AR10" s="62"/>
      <c r="AS10" s="62"/>
      <c r="AT10" s="62">
        <v>1.4184397163120581</v>
      </c>
      <c r="AU10" s="62"/>
      <c r="AV10" s="62">
        <v>2.8169014084507067</v>
      </c>
      <c r="AW10" s="62">
        <v>2.0979020979020997</v>
      </c>
      <c r="AX10" s="62">
        <v>5.1094890510948785</v>
      </c>
      <c r="AY10" s="62"/>
    </row>
    <row r="11" spans="1:51" x14ac:dyDescent="0.25">
      <c r="A11" s="62"/>
      <c r="B11" s="62"/>
      <c r="C11" s="62">
        <v>43.18181818181818</v>
      </c>
      <c r="D11" s="62">
        <v>31.343283582089551</v>
      </c>
      <c r="E11" s="62">
        <v>1.5625</v>
      </c>
      <c r="F11" s="62"/>
      <c r="G11" s="62"/>
      <c r="H11" s="62"/>
      <c r="I11" s="62"/>
      <c r="J11" s="62"/>
      <c r="K11" s="62"/>
      <c r="L11" s="62">
        <v>33.603238866396744</v>
      </c>
      <c r="M11" s="62">
        <v>22.748815165876778</v>
      </c>
      <c r="N11" s="62">
        <v>-0.57803468208092534</v>
      </c>
      <c r="O11" s="62"/>
      <c r="P11" s="62"/>
      <c r="Q11" s="62"/>
      <c r="R11" s="62"/>
      <c r="S11" s="62"/>
      <c r="T11" s="62"/>
      <c r="U11" s="62">
        <v>58.633093525179873</v>
      </c>
      <c r="V11" s="62">
        <v>46.694214876033051</v>
      </c>
      <c r="W11" s="62">
        <v>4.8582995951416867</v>
      </c>
      <c r="X11" s="62"/>
      <c r="Y11" s="62"/>
      <c r="Z11" s="62"/>
      <c r="AA11" s="62"/>
      <c r="AB11" s="62"/>
      <c r="AC11" s="62"/>
      <c r="AD11" s="62">
        <v>5</v>
      </c>
      <c r="AE11" s="62">
        <v>6.3829787234042552</v>
      </c>
      <c r="AF11" s="62">
        <v>1.8867924528301887</v>
      </c>
      <c r="AG11" s="62"/>
      <c r="AH11" s="62"/>
      <c r="AI11" s="62"/>
      <c r="AJ11" s="62"/>
      <c r="AK11" s="62"/>
      <c r="AL11" s="62"/>
      <c r="AM11" s="62">
        <v>4.7619047619047619</v>
      </c>
      <c r="AN11" s="62">
        <v>5.1546391752577323</v>
      </c>
      <c r="AO11" s="62">
        <v>1.8181818181818181</v>
      </c>
      <c r="AP11" s="62"/>
      <c r="AQ11" s="62"/>
      <c r="AR11" s="62"/>
      <c r="AS11" s="62"/>
      <c r="AT11" s="62"/>
      <c r="AU11" s="62"/>
      <c r="AV11" s="62">
        <v>3.5714285714285747</v>
      </c>
      <c r="AW11" s="62">
        <v>2.1126760563380302</v>
      </c>
      <c r="AX11" s="62">
        <v>0</v>
      </c>
      <c r="AY11" s="62"/>
    </row>
    <row r="12" spans="1:51" x14ac:dyDescent="0.25">
      <c r="A12" s="62"/>
      <c r="B12" s="62"/>
      <c r="C12" s="62">
        <v>48.888888888888886</v>
      </c>
      <c r="D12" s="62"/>
      <c r="E12" s="62">
        <v>61.29032258064516</v>
      </c>
      <c r="F12" s="62"/>
      <c r="G12" s="62"/>
      <c r="H12" s="62"/>
      <c r="I12" s="62"/>
      <c r="J12" s="62"/>
      <c r="K12" s="62"/>
      <c r="L12" s="62">
        <v>36.799999999999997</v>
      </c>
      <c r="M12" s="62"/>
      <c r="N12" s="62">
        <v>64.171122994652393</v>
      </c>
      <c r="O12" s="62"/>
      <c r="P12" s="62"/>
      <c r="Q12" s="62"/>
      <c r="R12" s="62"/>
      <c r="S12" s="62"/>
      <c r="T12" s="62"/>
      <c r="U12" s="62">
        <v>100.36101083032491</v>
      </c>
      <c r="V12" s="62"/>
      <c r="W12" s="62">
        <v>87.203791469194329</v>
      </c>
      <c r="X12" s="62"/>
      <c r="Y12" s="62"/>
      <c r="Z12" s="62"/>
      <c r="AA12" s="62"/>
      <c r="AB12" s="62"/>
      <c r="AC12" s="62"/>
      <c r="AD12" s="62">
        <v>-5</v>
      </c>
      <c r="AE12" s="62"/>
      <c r="AF12" s="62">
        <v>-9.8039215686274517</v>
      </c>
      <c r="AG12" s="62"/>
      <c r="AH12" s="62"/>
      <c r="AI12" s="62"/>
      <c r="AJ12" s="62"/>
      <c r="AK12" s="62"/>
      <c r="AL12" s="62"/>
      <c r="AM12" s="62">
        <v>-4.7619047619047619</v>
      </c>
      <c r="AN12" s="62"/>
      <c r="AO12" s="62">
        <v>-11.764705882352942</v>
      </c>
      <c r="AP12" s="62"/>
      <c r="AQ12" s="62"/>
      <c r="AR12" s="62"/>
      <c r="AS12" s="62"/>
      <c r="AT12" s="62"/>
      <c r="AU12" s="62"/>
      <c r="AV12" s="62">
        <v>4.28571428571429</v>
      </c>
      <c r="AW12" s="62"/>
      <c r="AX12" s="62">
        <v>6.474820143884898</v>
      </c>
      <c r="AY12" s="62"/>
    </row>
    <row r="13" spans="1:51" x14ac:dyDescent="0.25">
      <c r="A13" s="62"/>
      <c r="B13" s="62"/>
      <c r="C13" s="62"/>
      <c r="D13" s="62"/>
      <c r="E13" s="62">
        <v>65.853658536585371</v>
      </c>
      <c r="F13" s="62"/>
      <c r="G13" s="62"/>
      <c r="H13" s="62"/>
      <c r="I13" s="62"/>
      <c r="J13" s="62"/>
      <c r="K13" s="62"/>
      <c r="L13" s="62"/>
      <c r="M13" s="62"/>
      <c r="N13" s="62">
        <v>32.539682539682531</v>
      </c>
      <c r="O13" s="62"/>
      <c r="P13" s="62"/>
      <c r="Q13" s="62"/>
      <c r="R13" s="62"/>
      <c r="S13" s="62"/>
      <c r="T13" s="62"/>
      <c r="U13" s="62"/>
      <c r="V13" s="62"/>
      <c r="W13" s="62">
        <v>81.72757475083057</v>
      </c>
      <c r="X13" s="62"/>
      <c r="Y13" s="62"/>
      <c r="Z13" s="62"/>
      <c r="AA13" s="62"/>
      <c r="AB13" s="62"/>
      <c r="AC13" s="62"/>
      <c r="AD13" s="62"/>
      <c r="AE13" s="62"/>
      <c r="AF13" s="62">
        <v>9.433962264150944</v>
      </c>
      <c r="AG13" s="62"/>
      <c r="AH13" s="62"/>
      <c r="AI13" s="62"/>
      <c r="AJ13" s="62"/>
      <c r="AK13" s="62"/>
      <c r="AL13" s="62"/>
      <c r="AM13" s="62"/>
      <c r="AN13" s="62"/>
      <c r="AO13" s="62">
        <v>11.111111111111111</v>
      </c>
      <c r="AP13" s="62"/>
      <c r="AQ13" s="62"/>
      <c r="AR13" s="62"/>
      <c r="AS13" s="62"/>
      <c r="AT13" s="62"/>
      <c r="AU13" s="62"/>
      <c r="AV13" s="62"/>
      <c r="AW13" s="62"/>
      <c r="AX13" s="62">
        <v>3.5460992907801452</v>
      </c>
      <c r="AY13" s="62"/>
    </row>
    <row r="14" spans="1:51" x14ac:dyDescent="0.25">
      <c r="A14" s="62"/>
      <c r="B14" s="62"/>
      <c r="C14" s="62"/>
      <c r="D14" s="62"/>
      <c r="E14" s="62">
        <v>71.794871794871796</v>
      </c>
      <c r="F14" s="62"/>
      <c r="G14" s="62"/>
      <c r="H14" s="62"/>
      <c r="I14" s="62"/>
      <c r="J14" s="62"/>
      <c r="K14" s="62"/>
      <c r="L14" s="62"/>
      <c r="M14" s="62"/>
      <c r="N14" s="62">
        <v>50.224215246636781</v>
      </c>
      <c r="O14" s="62"/>
      <c r="P14" s="62"/>
      <c r="Q14" s="62"/>
      <c r="R14" s="62"/>
      <c r="S14" s="62"/>
      <c r="T14" s="62"/>
      <c r="U14" s="62"/>
      <c r="V14" s="62"/>
      <c r="W14" s="62">
        <v>135.15981735159821</v>
      </c>
      <c r="X14" s="62"/>
      <c r="Y14" s="62"/>
      <c r="Z14" s="62"/>
      <c r="AA14" s="62"/>
      <c r="AB14" s="62"/>
      <c r="AC14" s="62"/>
      <c r="AD14" s="62"/>
      <c r="AE14" s="62"/>
      <c r="AF14" s="62">
        <v>18.867924528301888</v>
      </c>
      <c r="AG14" s="62"/>
      <c r="AH14" s="62"/>
      <c r="AI14" s="62"/>
      <c r="AJ14" s="62"/>
      <c r="AK14" s="62"/>
      <c r="AL14" s="62"/>
      <c r="AM14" s="62"/>
      <c r="AN14" s="62"/>
      <c r="AO14" s="62">
        <v>24.528301886792452</v>
      </c>
      <c r="AP14" s="62"/>
      <c r="AQ14" s="62"/>
      <c r="AR14" s="62"/>
      <c r="AS14" s="62"/>
      <c r="AT14" s="62"/>
      <c r="AU14" s="62"/>
      <c r="AV14" s="62"/>
      <c r="AW14" s="62"/>
      <c r="AX14" s="62">
        <v>3.5714285714285747</v>
      </c>
      <c r="AY14" s="6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FE85-50EC-498D-97B2-B947E83D0967}">
  <dimension ref="A1:AR63"/>
  <sheetViews>
    <sheetView workbookViewId="0">
      <selection activeCell="E37" sqref="E37"/>
    </sheetView>
  </sheetViews>
  <sheetFormatPr defaultRowHeight="15.75" x14ac:dyDescent="0.25"/>
  <cols>
    <col min="1" max="1" width="10.875" customWidth="1"/>
    <col min="2" max="2" width="12.375" customWidth="1"/>
    <col min="5" max="5" width="11.125" customWidth="1"/>
    <col min="7" max="7" width="11.125" customWidth="1"/>
    <col min="9" max="44" width="10.375" bestFit="1" customWidth="1"/>
  </cols>
  <sheetData>
    <row r="1" spans="1:44" x14ac:dyDescent="0.25">
      <c r="A1" t="s">
        <v>3</v>
      </c>
      <c r="B1" t="s">
        <v>185</v>
      </c>
      <c r="C1" t="s">
        <v>3</v>
      </c>
      <c r="D1" t="s">
        <v>186</v>
      </c>
      <c r="E1" t="s">
        <v>3</v>
      </c>
      <c r="F1" t="s">
        <v>187</v>
      </c>
      <c r="G1" t="s">
        <v>3</v>
      </c>
      <c r="H1" t="s">
        <v>188</v>
      </c>
    </row>
    <row r="2" spans="1:44" x14ac:dyDescent="0.25">
      <c r="A2" t="s">
        <v>182</v>
      </c>
      <c r="B2" s="61">
        <v>35.555555555555557</v>
      </c>
      <c r="C2" t="s">
        <v>182</v>
      </c>
      <c r="D2">
        <v>2.14</v>
      </c>
      <c r="E2" t="s">
        <v>182</v>
      </c>
      <c r="F2">
        <v>2.12</v>
      </c>
      <c r="G2" t="s">
        <v>182</v>
      </c>
      <c r="H2">
        <v>63.56</v>
      </c>
      <c r="V2">
        <v>22</v>
      </c>
      <c r="W2">
        <v>28</v>
      </c>
    </row>
    <row r="3" spans="1:44" x14ac:dyDescent="0.25">
      <c r="A3" t="s">
        <v>120</v>
      </c>
      <c r="B3" s="61">
        <v>34.285714285714285</v>
      </c>
      <c r="C3" t="s">
        <v>120</v>
      </c>
      <c r="D3">
        <v>1.99</v>
      </c>
      <c r="E3" t="s">
        <v>120</v>
      </c>
      <c r="F3">
        <v>2.58</v>
      </c>
      <c r="G3" t="s">
        <v>120</v>
      </c>
      <c r="H3">
        <v>58.14</v>
      </c>
      <c r="I3" s="61"/>
      <c r="J3" s="61"/>
      <c r="K3" s="61"/>
      <c r="N3" s="61"/>
      <c r="O3" s="61"/>
      <c r="P3" s="61"/>
      <c r="Q3" s="61"/>
      <c r="R3" s="61"/>
      <c r="S3" s="61"/>
      <c r="T3" s="61"/>
      <c r="U3" s="61"/>
      <c r="V3" s="61">
        <v>48</v>
      </c>
      <c r="W3" s="61">
        <v>24</v>
      </c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</row>
    <row r="4" spans="1:44" x14ac:dyDescent="0.25">
      <c r="A4" t="s">
        <v>128</v>
      </c>
      <c r="B4" s="61">
        <v>34.272727272727273</v>
      </c>
      <c r="C4" t="s">
        <v>128</v>
      </c>
      <c r="D4">
        <v>2.02</v>
      </c>
      <c r="E4" t="s">
        <v>128</v>
      </c>
      <c r="F4">
        <v>2.2799999999999998</v>
      </c>
      <c r="G4" t="s">
        <v>128</v>
      </c>
      <c r="V4">
        <v>47</v>
      </c>
      <c r="W4">
        <v>26</v>
      </c>
    </row>
    <row r="5" spans="1:44" x14ac:dyDescent="0.25">
      <c r="A5" t="s">
        <v>189</v>
      </c>
      <c r="B5" s="61">
        <v>22</v>
      </c>
      <c r="C5" t="s">
        <v>189</v>
      </c>
      <c r="D5">
        <v>1.33</v>
      </c>
      <c r="E5" t="s">
        <v>189</v>
      </c>
      <c r="F5">
        <v>1.44</v>
      </c>
      <c r="G5" t="s">
        <v>189</v>
      </c>
    </row>
    <row r="6" spans="1:44" x14ac:dyDescent="0.25">
      <c r="A6" t="s">
        <v>190</v>
      </c>
      <c r="B6" s="61">
        <v>33</v>
      </c>
      <c r="C6" t="s">
        <v>190</v>
      </c>
      <c r="D6">
        <v>2.1800000000000002</v>
      </c>
      <c r="E6" t="s">
        <v>190</v>
      </c>
      <c r="F6">
        <v>2.37</v>
      </c>
      <c r="G6" t="s">
        <v>190</v>
      </c>
    </row>
    <row r="7" spans="1:44" x14ac:dyDescent="0.25">
      <c r="A7" t="s">
        <v>190</v>
      </c>
      <c r="B7" s="61">
        <v>30</v>
      </c>
      <c r="C7" t="s">
        <v>190</v>
      </c>
      <c r="D7">
        <v>1.89</v>
      </c>
      <c r="E7" t="s">
        <v>190</v>
      </c>
      <c r="F7">
        <v>2.16</v>
      </c>
      <c r="G7" t="s">
        <v>190</v>
      </c>
    </row>
    <row r="8" spans="1:44" x14ac:dyDescent="0.25">
      <c r="A8" t="s">
        <v>140</v>
      </c>
      <c r="B8" s="61">
        <v>33.35</v>
      </c>
      <c r="C8" t="s">
        <v>140</v>
      </c>
      <c r="D8">
        <v>2.0299999999999998</v>
      </c>
      <c r="E8" t="s">
        <v>140</v>
      </c>
      <c r="F8">
        <v>2.38</v>
      </c>
      <c r="G8" t="s">
        <v>140</v>
      </c>
      <c r="V8">
        <v>27</v>
      </c>
      <c r="W8">
        <v>29</v>
      </c>
    </row>
    <row r="9" spans="1:44" x14ac:dyDescent="0.25">
      <c r="A9" t="s">
        <v>191</v>
      </c>
      <c r="B9" s="61">
        <v>31</v>
      </c>
      <c r="C9" t="s">
        <v>191</v>
      </c>
      <c r="D9">
        <v>1.9</v>
      </c>
      <c r="E9" t="s">
        <v>191</v>
      </c>
      <c r="F9">
        <v>2.5299999999999998</v>
      </c>
      <c r="G9" t="s">
        <v>191</v>
      </c>
    </row>
    <row r="10" spans="1:44" x14ac:dyDescent="0.25">
      <c r="A10" t="s">
        <v>192</v>
      </c>
      <c r="B10" s="61">
        <v>26</v>
      </c>
      <c r="C10" t="s">
        <v>192</v>
      </c>
      <c r="D10">
        <v>1.58</v>
      </c>
      <c r="E10" t="s">
        <v>192</v>
      </c>
      <c r="F10">
        <v>2.21</v>
      </c>
      <c r="G10" t="s">
        <v>192</v>
      </c>
    </row>
    <row r="11" spans="1:44" x14ac:dyDescent="0.25">
      <c r="A11" t="s">
        <v>151</v>
      </c>
      <c r="B11" s="61">
        <v>38</v>
      </c>
      <c r="C11" t="s">
        <v>151</v>
      </c>
      <c r="D11">
        <v>2.23</v>
      </c>
      <c r="E11" t="s">
        <v>151</v>
      </c>
      <c r="F11">
        <v>2.56</v>
      </c>
      <c r="G11" t="s">
        <v>151</v>
      </c>
      <c r="V11">
        <v>33</v>
      </c>
      <c r="W11">
        <v>27</v>
      </c>
    </row>
    <row r="12" spans="1:44" x14ac:dyDescent="0.25">
      <c r="A12" t="s">
        <v>184</v>
      </c>
      <c r="B12" s="61">
        <v>24.714285714285715</v>
      </c>
      <c r="C12" t="s">
        <v>184</v>
      </c>
      <c r="D12">
        <v>1.46</v>
      </c>
      <c r="E12" t="s">
        <v>184</v>
      </c>
      <c r="F12">
        <v>2.0299999999999998</v>
      </c>
      <c r="G12" t="s">
        <v>184</v>
      </c>
      <c r="V12">
        <v>31</v>
      </c>
      <c r="W12">
        <v>26</v>
      </c>
    </row>
    <row r="13" spans="1:44" x14ac:dyDescent="0.25">
      <c r="B13" s="61"/>
      <c r="V13">
        <v>27</v>
      </c>
      <c r="W13">
        <v>22</v>
      </c>
    </row>
    <row r="14" spans="1:44" x14ac:dyDescent="0.25">
      <c r="B14" s="61"/>
      <c r="V14">
        <v>50</v>
      </c>
      <c r="W14">
        <v>22</v>
      </c>
    </row>
    <row r="15" spans="1:44" x14ac:dyDescent="0.25">
      <c r="V15">
        <v>35</v>
      </c>
      <c r="W15">
        <v>26</v>
      </c>
    </row>
    <row r="16" spans="1:44" x14ac:dyDescent="0.25">
      <c r="B16" s="61"/>
      <c r="V16">
        <v>36</v>
      </c>
      <c r="W16">
        <v>31</v>
      </c>
    </row>
    <row r="17" spans="22:23" x14ac:dyDescent="0.25">
      <c r="V17">
        <v>39</v>
      </c>
      <c r="W17">
        <v>33</v>
      </c>
    </row>
    <row r="18" spans="22:23" x14ac:dyDescent="0.25">
      <c r="V18">
        <v>23</v>
      </c>
      <c r="W18">
        <v>39</v>
      </c>
    </row>
    <row r="19" spans="22:23" x14ac:dyDescent="0.25">
      <c r="V19">
        <v>41</v>
      </c>
      <c r="W19">
        <v>37</v>
      </c>
    </row>
    <row r="20" spans="22:23" x14ac:dyDescent="0.25">
      <c r="V20">
        <v>52</v>
      </c>
      <c r="W20">
        <v>38</v>
      </c>
    </row>
    <row r="21" spans="22:23" x14ac:dyDescent="0.25">
      <c r="V21">
        <v>24</v>
      </c>
      <c r="W21">
        <v>32</v>
      </c>
    </row>
    <row r="22" spans="22:23" x14ac:dyDescent="0.25">
      <c r="V22">
        <v>25</v>
      </c>
    </row>
    <row r="23" spans="22:23" x14ac:dyDescent="0.25">
      <c r="V23">
        <v>41</v>
      </c>
    </row>
    <row r="24" spans="22:23" x14ac:dyDescent="0.25">
      <c r="V24">
        <v>20</v>
      </c>
    </row>
    <row r="25" spans="22:23" x14ac:dyDescent="0.25">
      <c r="V25">
        <v>27</v>
      </c>
    </row>
    <row r="26" spans="22:23" x14ac:dyDescent="0.25">
      <c r="V26">
        <v>21</v>
      </c>
    </row>
    <row r="27" spans="22:23" x14ac:dyDescent="0.25">
      <c r="V27">
        <v>27</v>
      </c>
    </row>
    <row r="28" spans="22:23" x14ac:dyDescent="0.25">
      <c r="V28">
        <v>27</v>
      </c>
    </row>
    <row r="29" spans="22:23" x14ac:dyDescent="0.25">
      <c r="V29">
        <v>39</v>
      </c>
    </row>
    <row r="30" spans="22:23" x14ac:dyDescent="0.25">
      <c r="V30">
        <v>36</v>
      </c>
    </row>
    <row r="31" spans="22:23" x14ac:dyDescent="0.25">
      <c r="V31">
        <v>50</v>
      </c>
    </row>
    <row r="32" spans="22:23" x14ac:dyDescent="0.25">
      <c r="V32">
        <v>44</v>
      </c>
    </row>
    <row r="33" spans="22:22" x14ac:dyDescent="0.25">
      <c r="V33">
        <v>45</v>
      </c>
    </row>
    <row r="34" spans="22:22" x14ac:dyDescent="0.25">
      <c r="V34">
        <v>42</v>
      </c>
    </row>
    <row r="35" spans="22:22" x14ac:dyDescent="0.25">
      <c r="V35">
        <v>29</v>
      </c>
    </row>
    <row r="36" spans="22:22" x14ac:dyDescent="0.25">
      <c r="V36">
        <v>36</v>
      </c>
    </row>
    <row r="37" spans="22:22" x14ac:dyDescent="0.25">
      <c r="V37">
        <v>43</v>
      </c>
    </row>
    <row r="38" spans="22:22" x14ac:dyDescent="0.25">
      <c r="V38">
        <v>25</v>
      </c>
    </row>
    <row r="39" spans="22:22" x14ac:dyDescent="0.25">
      <c r="V39">
        <v>28</v>
      </c>
    </row>
    <row r="40" spans="22:22" x14ac:dyDescent="0.25">
      <c r="V40">
        <v>27</v>
      </c>
    </row>
    <row r="41" spans="22:22" x14ac:dyDescent="0.25">
      <c r="V41">
        <v>30</v>
      </c>
    </row>
    <row r="42" spans="22:22" x14ac:dyDescent="0.25">
      <c r="V42">
        <v>40</v>
      </c>
    </row>
    <row r="43" spans="22:22" x14ac:dyDescent="0.25">
      <c r="V43">
        <v>33.5</v>
      </c>
    </row>
    <row r="44" spans="22:22" x14ac:dyDescent="0.25">
      <c r="V44">
        <v>49</v>
      </c>
    </row>
    <row r="45" spans="22:22" x14ac:dyDescent="0.25">
      <c r="V45">
        <v>30</v>
      </c>
    </row>
    <row r="46" spans="22:22" x14ac:dyDescent="0.25">
      <c r="V46">
        <v>23</v>
      </c>
    </row>
    <row r="47" spans="22:22" x14ac:dyDescent="0.25">
      <c r="V47">
        <v>34</v>
      </c>
    </row>
    <row r="48" spans="22:22" x14ac:dyDescent="0.25">
      <c r="V48">
        <v>45</v>
      </c>
    </row>
    <row r="49" spans="22:22" x14ac:dyDescent="0.25">
      <c r="V49">
        <v>37</v>
      </c>
    </row>
    <row r="50" spans="22:22" x14ac:dyDescent="0.25">
      <c r="V50">
        <v>35</v>
      </c>
    </row>
    <row r="51" spans="22:22" x14ac:dyDescent="0.25">
      <c r="V51">
        <v>47</v>
      </c>
    </row>
    <row r="52" spans="22:22" x14ac:dyDescent="0.25">
      <c r="V52">
        <v>19</v>
      </c>
    </row>
    <row r="53" spans="22:22" x14ac:dyDescent="0.25">
      <c r="V53">
        <v>64</v>
      </c>
    </row>
    <row r="54" spans="22:22" x14ac:dyDescent="0.25">
      <c r="V54">
        <v>31</v>
      </c>
    </row>
    <row r="55" spans="22:22" x14ac:dyDescent="0.25">
      <c r="V55">
        <v>41</v>
      </c>
    </row>
    <row r="56" spans="22:22" x14ac:dyDescent="0.25">
      <c r="V56">
        <v>39</v>
      </c>
    </row>
    <row r="57" spans="22:22" x14ac:dyDescent="0.25">
      <c r="V57">
        <v>26</v>
      </c>
    </row>
    <row r="58" spans="22:22" x14ac:dyDescent="0.25">
      <c r="V58">
        <v>29</v>
      </c>
    </row>
    <row r="59" spans="22:22" x14ac:dyDescent="0.25">
      <c r="V59">
        <v>24</v>
      </c>
    </row>
    <row r="60" spans="22:22" x14ac:dyDescent="0.25">
      <c r="V60">
        <v>23</v>
      </c>
    </row>
    <row r="61" spans="22:22" x14ac:dyDescent="0.25">
      <c r="V61">
        <v>17</v>
      </c>
    </row>
    <row r="62" spans="22:22" x14ac:dyDescent="0.25">
      <c r="V62">
        <v>21</v>
      </c>
    </row>
    <row r="63" spans="22:22" x14ac:dyDescent="0.25">
      <c r="V63">
        <v>33</v>
      </c>
    </row>
  </sheetData>
  <pageMargins left="0.7" right="0.7" top="0.75" bottom="0.75" header="0.3" footer="0.3"/>
  <pageSetup paperSize="9" orientation="portrait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0F68B9B2C66C469E46919830EC5C31" ma:contentTypeVersion="10" ma:contentTypeDescription="Create a new document." ma:contentTypeScope="" ma:versionID="74c16272c2993729ed8991da56e57e0e">
  <xsd:schema xmlns:xsd="http://www.w3.org/2001/XMLSchema" xmlns:xs="http://www.w3.org/2001/XMLSchema" xmlns:p="http://schemas.microsoft.com/office/2006/metadata/properties" xmlns:ns2="6d5d0d90-1cb4-457d-b7e9-17024233385e" xmlns:ns3="61230c91-f3a2-4e9e-9299-7d57ee07e09b" targetNamespace="http://schemas.microsoft.com/office/2006/metadata/properties" ma:root="true" ma:fieldsID="4fe26f190cef49832d7b91a62ba94f09" ns2:_="" ns3:_="">
    <xsd:import namespace="6d5d0d90-1cb4-457d-b7e9-17024233385e"/>
    <xsd:import namespace="61230c91-f3a2-4e9e-9299-7d57ee07e0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5d0d90-1cb4-457d-b7e9-1702423338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30c91-f3a2-4e9e-9299-7d57ee07e09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7B8B5B-19C2-4A28-BD1D-C5C58E3BC3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5d0d90-1cb4-457d-b7e9-17024233385e"/>
    <ds:schemaRef ds:uri="61230c91-f3a2-4e9e-9299-7d57ee07e0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2C3BD9-3040-4B50-AFF9-8348FA3F97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A2D353-5D37-4745-A34C-D94608E97E7C}">
  <ds:schemaRefs>
    <ds:schemaRef ds:uri="6d5d0d90-1cb4-457d-b7e9-17024233385e"/>
    <ds:schemaRef ds:uri="http://purl.org/dc/terms/"/>
    <ds:schemaRef ds:uri="http://schemas.microsoft.com/office/2006/documentManagement/types"/>
    <ds:schemaRef ds:uri="61230c91-f3a2-4e9e-9299-7d57ee07e09b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Demographic</vt:lpstr>
      <vt:lpstr>Vessel area density</vt:lpstr>
      <vt:lpstr>Vessel Length Density</vt:lpstr>
      <vt:lpstr>Branchpoint density</vt:lpstr>
      <vt:lpstr>Mean diameter</vt:lpstr>
      <vt:lpstr>Median diameter</vt:lpstr>
      <vt:lpstr>PORH ANALYSIS</vt:lpstr>
      <vt:lpstr>Fractal dimension</vt:lpstr>
      <vt:lpstr>Baseline results</vt:lpstr>
      <vt:lpstr>PORH results</vt:lpstr>
      <vt:lpstr>Abs diff  results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Danuta Sampson</dc:creator>
  <cp:keywords/>
  <dc:description/>
  <cp:lastModifiedBy>Mads Leth Grønbeck</cp:lastModifiedBy>
  <cp:revision/>
  <dcterms:created xsi:type="dcterms:W3CDTF">2021-05-21T08:18:34Z</dcterms:created>
  <dcterms:modified xsi:type="dcterms:W3CDTF">2026-03-01T12:29:49Z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0x010100990F68B9B2C66C469E46919830EC5C31</vt:lpwstr>
  </property>
</Properties>
</file>